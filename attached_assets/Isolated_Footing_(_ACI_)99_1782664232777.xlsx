
<file path=[Content_Types].xml><?xml version="1.0" encoding="utf-8"?>
<Types xmlns="http://schemas.openxmlformats.org/package/2006/content-types">
  <Default ContentType="application/xml" Extension="xml"/>
  <Default ContentType="image/jpeg" Extension="jpe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workbook>
</file>

<file path=xl/sharedStrings.xml><?xml version="1.0" encoding="utf-8"?>
<sst xmlns="http://schemas.openxmlformats.org/spreadsheetml/2006/main" count="296" uniqueCount="211">
  <si>
    <r>
      <rPr>
        <rFont val="Times New Roman"/>
        <sz val="11.0"/>
      </rPr>
      <t xml:space="preserve">Fcu footing  </t>
    </r>
    <r>
      <rPr>
        <rFont val="Times New Roman"/>
        <sz val="10.0"/>
      </rPr>
      <t>(Mpa)</t>
    </r>
  </si>
  <si>
    <r>
      <rPr>
        <rFont val="Times New Roman"/>
        <sz val="11.0"/>
      </rPr>
      <t>q</t>
    </r>
    <r>
      <rPr>
        <rFont val="Times New Roman"/>
        <sz val="10.0"/>
      </rPr>
      <t>all</t>
    </r>
    <r>
      <rPr>
        <rFont val="Times New Roman"/>
        <sz val="11.0"/>
      </rPr>
      <t xml:space="preserve"> </t>
    </r>
    <r>
      <rPr>
        <rFont val="Times New Roman"/>
        <sz val="10.0"/>
      </rPr>
      <t>(KN/m²)</t>
    </r>
  </si>
  <si>
    <r>
      <rPr>
        <rFont val="Times New Roman"/>
        <sz val="11.0"/>
      </rPr>
      <t xml:space="preserve">P </t>
    </r>
    <r>
      <rPr>
        <rFont val="Times New Roman"/>
        <sz val="8.0"/>
      </rPr>
      <t>D.L.</t>
    </r>
    <r>
      <rPr>
        <rFont val="Times New Roman"/>
        <sz val="11.0"/>
      </rPr>
      <t xml:space="preserve"> </t>
    </r>
    <r>
      <rPr>
        <rFont val="Times New Roman"/>
        <sz val="10.0"/>
      </rPr>
      <t>(KN)</t>
    </r>
  </si>
  <si>
    <t>Dimensions</t>
  </si>
  <si>
    <t>Reinforcement</t>
  </si>
  <si>
    <r>
      <rPr>
        <rFont val="Times New Roman"/>
        <sz val="11.0"/>
      </rPr>
      <t xml:space="preserve">Fcu column  </t>
    </r>
    <r>
      <rPr>
        <rFont val="Times New Roman"/>
        <sz val="10.0"/>
      </rPr>
      <t>(Mpa)</t>
    </r>
  </si>
  <si>
    <r>
      <rPr>
        <rFont val="Times New Roman"/>
        <sz val="11.0"/>
      </rPr>
      <t xml:space="preserve">γs </t>
    </r>
    <r>
      <rPr>
        <rFont val="Times New Roman"/>
        <sz val="10.0"/>
      </rPr>
      <t>(KN/m³)</t>
    </r>
  </si>
  <si>
    <r>
      <rPr>
        <rFont val="Times New Roman"/>
        <sz val="11.0"/>
      </rPr>
      <t xml:space="preserve">P </t>
    </r>
    <r>
      <rPr>
        <rFont val="Times New Roman"/>
        <sz val="8.0"/>
      </rPr>
      <t>L.L.</t>
    </r>
    <r>
      <rPr>
        <rFont val="Times New Roman"/>
        <sz val="11.0"/>
      </rPr>
      <t xml:space="preserve"> </t>
    </r>
    <r>
      <rPr>
        <rFont val="Times New Roman"/>
        <sz val="10.0"/>
      </rPr>
      <t>(KN)</t>
    </r>
  </si>
  <si>
    <r>
      <rPr>
        <rFont val="Times New Roman"/>
        <color/>
        <sz val="11.0"/>
      </rPr>
      <t xml:space="preserve">L </t>
    </r>
    <r>
      <rPr>
        <rFont val="Times New Roman"/>
        <color/>
        <sz val="9.0"/>
      </rPr>
      <t>(m)</t>
    </r>
  </si>
  <si>
    <r>
      <rPr>
        <rFont val="Times New Roman"/>
        <color/>
        <sz val="11.0"/>
      </rPr>
      <t xml:space="preserve">B </t>
    </r>
    <r>
      <rPr>
        <rFont val="Times New Roman"/>
        <color/>
        <sz val="9.0"/>
      </rPr>
      <t>(m)</t>
    </r>
  </si>
  <si>
    <r>
      <rPr>
        <rFont val="Times New Roman"/>
        <color/>
        <sz val="11.0"/>
      </rPr>
      <t xml:space="preserve">h </t>
    </r>
    <r>
      <rPr>
        <rFont val="Times New Roman"/>
        <color/>
        <sz val="9.0"/>
      </rPr>
      <t>(m)</t>
    </r>
  </si>
  <si>
    <t>Long steel</t>
  </si>
  <si>
    <t>Short steel</t>
  </si>
  <si>
    <r>
      <rPr>
        <rFont val="Times New Roman"/>
        <sz val="11.0"/>
      </rPr>
      <t xml:space="preserve">Fy rft. </t>
    </r>
    <r>
      <rPr>
        <rFont val="Times New Roman"/>
        <sz val="10.0"/>
      </rPr>
      <t>(Mpa)</t>
    </r>
  </si>
  <si>
    <r>
      <rPr>
        <rFont val="Times New Roman"/>
        <sz val="11.0"/>
      </rPr>
      <t xml:space="preserve">Foundation depth </t>
    </r>
    <r>
      <rPr>
        <rFont val="Times New Roman"/>
        <sz val="10.0"/>
      </rPr>
      <t>(m)</t>
    </r>
  </si>
  <si>
    <r>
      <rPr>
        <rFont val="Times New Roman"/>
        <sz val="11.0"/>
      </rPr>
      <t xml:space="preserve">Column length </t>
    </r>
    <r>
      <rPr>
        <rFont val="Times New Roman"/>
        <sz val="10.0"/>
      </rPr>
      <t>(m)</t>
    </r>
  </si>
  <si>
    <t>Check of wide beam shear</t>
  </si>
  <si>
    <r>
      <rPr>
        <rFont val="Times New Roman"/>
        <sz val="11.0"/>
      </rPr>
      <t xml:space="preserve">Concrete cover </t>
    </r>
    <r>
      <rPr>
        <rFont val="Times New Roman"/>
        <sz val="10.0"/>
      </rPr>
      <t>(mm)</t>
    </r>
  </si>
  <si>
    <r>
      <rPr>
        <rFont val="Times New Roman"/>
        <sz val="11.0"/>
      </rPr>
      <t xml:space="preserve">footing </t>
    </r>
    <r>
      <rPr>
        <rFont val="Times New Roman"/>
        <sz val="10.0"/>
      </rPr>
      <t>thickness</t>
    </r>
    <r>
      <rPr>
        <rFont val="Times New Roman"/>
        <sz val="11.0"/>
      </rPr>
      <t xml:space="preserve"> </t>
    </r>
    <r>
      <rPr>
        <rFont val="Times New Roman"/>
        <sz val="10.0"/>
      </rPr>
      <t>(mm)</t>
    </r>
  </si>
  <si>
    <r>
      <rPr>
        <rFont val="Times New Roman"/>
        <sz val="11.0"/>
      </rPr>
      <t xml:space="preserve">Column width </t>
    </r>
    <r>
      <rPr>
        <rFont val="Times New Roman"/>
        <sz val="10.0"/>
      </rPr>
      <t>(m)</t>
    </r>
  </si>
  <si>
    <t>Check of two way shear (punching)</t>
  </si>
  <si>
    <t>Check of reinforcement development</t>
  </si>
  <si>
    <r>
      <rPr>
        <rFont val="Times New Roman"/>
        <sz val="11.0"/>
      </rPr>
      <t xml:space="preserve">Ø </t>
    </r>
    <r>
      <rPr>
        <rFont val="Times New Roman"/>
        <sz val="10.0"/>
      </rPr>
      <t>short bars</t>
    </r>
  </si>
  <si>
    <r>
      <rPr>
        <rFont val="Times New Roman"/>
        <sz val="11.0"/>
      </rPr>
      <t xml:space="preserve">Ø column </t>
    </r>
    <r>
      <rPr>
        <rFont val="Times New Roman"/>
        <sz val="10.0"/>
      </rPr>
      <t>bars</t>
    </r>
  </si>
  <si>
    <t>Check of dowels development</t>
  </si>
  <si>
    <r>
      <rPr>
        <rFont val="Times New Roman"/>
        <sz val="11.0"/>
      </rPr>
      <t xml:space="preserve">Ø </t>
    </r>
    <r>
      <rPr>
        <rFont val="Times New Roman"/>
        <sz val="10.0"/>
      </rPr>
      <t>long bars</t>
    </r>
  </si>
  <si>
    <r>
      <rPr>
        <rFont val="Times New Roman"/>
        <sz val="11.0"/>
      </rPr>
      <t xml:space="preserve">Ø column </t>
    </r>
    <r>
      <rPr>
        <rFont val="Times New Roman"/>
        <sz val="10.0"/>
      </rPr>
      <t>dowels</t>
    </r>
  </si>
  <si>
    <r>
      <rPr>
        <rFont val="Times New Roman"/>
        <color/>
        <sz val="11.0"/>
      </rPr>
      <t xml:space="preserve">Project      </t>
    </r>
    <r>
      <rPr>
        <rFont val="Times New Roman"/>
        <color/>
        <sz val="8.0"/>
      </rPr>
      <t xml:space="preserve"> </t>
    </r>
    <r>
      <rPr>
        <rFont val="Times New Roman"/>
        <color/>
        <sz val="11.0"/>
      </rPr>
      <t>:</t>
    </r>
  </si>
  <si>
    <r>
      <rPr>
        <rFont val="Times New Roman"/>
        <color/>
        <sz val="11.0"/>
      </rPr>
      <t xml:space="preserve">Date   </t>
    </r>
    <r>
      <rPr>
        <rFont val="Times New Roman"/>
        <color/>
        <sz val="8.0"/>
      </rPr>
      <t xml:space="preserve"> </t>
    </r>
    <r>
      <rPr>
        <rFont val="Times New Roman"/>
        <color/>
        <sz val="11.0"/>
      </rPr>
      <t xml:space="preserve"> </t>
    </r>
    <r>
      <rPr>
        <rFont val="Times New Roman"/>
        <color/>
        <sz val="8.0"/>
      </rPr>
      <t xml:space="preserve"> </t>
    </r>
    <r>
      <rPr>
        <rFont val="Times New Roman"/>
        <color/>
        <sz val="11.0"/>
      </rPr>
      <t>:</t>
    </r>
  </si>
  <si>
    <t>Footing No :</t>
  </si>
  <si>
    <r>
      <rPr>
        <rFont val="Times New Roman"/>
        <color/>
        <sz val="11.0"/>
      </rPr>
      <t xml:space="preserve">Code   </t>
    </r>
    <r>
      <rPr>
        <rFont val="Times New Roman"/>
        <color/>
        <sz val="8.0"/>
      </rPr>
      <t xml:space="preserve"> </t>
    </r>
    <r>
      <rPr>
        <rFont val="Times New Roman"/>
        <color/>
        <sz val="11.0"/>
      </rPr>
      <t xml:space="preserve"> </t>
    </r>
    <r>
      <rPr>
        <rFont val="Times New Roman"/>
        <color/>
        <sz val="8.0"/>
      </rPr>
      <t xml:space="preserve"> </t>
    </r>
    <r>
      <rPr>
        <rFont val="Times New Roman"/>
        <color/>
        <sz val="11.0"/>
      </rPr>
      <t>:</t>
    </r>
  </si>
  <si>
    <t>ACI 318-08</t>
  </si>
  <si>
    <t>Given Data</t>
  </si>
  <si>
    <t>Materials informations</t>
  </si>
  <si>
    <t>Columnn informations</t>
  </si>
  <si>
    <t>Soil informations</t>
  </si>
  <si>
    <t>Design Procedure</t>
  </si>
  <si>
    <t>Determination of Footing dimensions</t>
  </si>
  <si>
    <r>
      <rPr>
        <rFont val="Times New Roman"/>
        <color/>
        <sz val="11.0"/>
      </rPr>
      <t>P</t>
    </r>
    <r>
      <rPr>
        <rFont val="Times New Roman"/>
        <color/>
        <sz val="8.0"/>
      </rPr>
      <t>о</t>
    </r>
    <r>
      <rPr>
        <rFont val="Times New Roman"/>
        <color/>
        <sz val="11.0"/>
      </rPr>
      <t xml:space="preserve"> = P </t>
    </r>
    <r>
      <rPr>
        <rFont val="Times New Roman"/>
        <color/>
        <sz val="8.0"/>
      </rPr>
      <t xml:space="preserve">D.L. </t>
    </r>
    <r>
      <rPr>
        <rFont val="Times New Roman"/>
        <color/>
        <sz val="11.0"/>
      </rPr>
      <t>+</t>
    </r>
    <r>
      <rPr>
        <rFont val="Times New Roman"/>
        <color/>
        <sz val="8.0"/>
      </rPr>
      <t xml:space="preserve"> </t>
    </r>
    <r>
      <rPr>
        <rFont val="Times New Roman"/>
        <color/>
        <sz val="11.0"/>
      </rPr>
      <t>P</t>
    </r>
    <r>
      <rPr>
        <rFont val="Times New Roman"/>
        <color/>
        <sz val="8.0"/>
      </rPr>
      <t xml:space="preserve"> L.L. </t>
    </r>
    <r>
      <rPr>
        <rFont val="Times New Roman"/>
        <color/>
        <sz val="11.0"/>
      </rPr>
      <t>=</t>
    </r>
  </si>
  <si>
    <r>
      <rPr>
        <rFont val="Times New Roman"/>
        <color/>
        <sz val="11.0"/>
      </rPr>
      <t>γ</t>
    </r>
    <r>
      <rPr>
        <rFont val="Times New Roman"/>
        <color/>
        <sz val="8.0"/>
      </rPr>
      <t>a</t>
    </r>
    <r>
      <rPr>
        <rFont val="Times New Roman"/>
        <color/>
        <sz val="11.0"/>
      </rPr>
      <t xml:space="preserve"> = ( γ</t>
    </r>
    <r>
      <rPr>
        <rFont val="Times New Roman"/>
        <color/>
        <sz val="8.0"/>
      </rPr>
      <t>c</t>
    </r>
    <r>
      <rPr>
        <rFont val="Times New Roman"/>
        <color/>
        <sz val="11.0"/>
      </rPr>
      <t xml:space="preserve"> + γ</t>
    </r>
    <r>
      <rPr>
        <rFont val="Times New Roman"/>
        <color/>
        <sz val="8.0"/>
      </rPr>
      <t>s</t>
    </r>
    <r>
      <rPr>
        <rFont val="Times New Roman"/>
        <color/>
        <sz val="11.0"/>
      </rPr>
      <t xml:space="preserve"> )/2 =</t>
    </r>
  </si>
  <si>
    <r>
      <rPr>
        <rFont val="Times New Roman"/>
        <color/>
        <sz val="11.0"/>
      </rPr>
      <t>q</t>
    </r>
    <r>
      <rPr>
        <rFont val="Times New Roman"/>
        <color/>
        <sz val="9.0"/>
      </rPr>
      <t>na</t>
    </r>
    <r>
      <rPr>
        <rFont val="Times New Roman"/>
        <color/>
        <sz val="11.0"/>
      </rPr>
      <t xml:space="preserve"> = q</t>
    </r>
    <r>
      <rPr>
        <rFont val="Times New Roman"/>
        <color/>
        <sz val="9.0"/>
      </rPr>
      <t>all</t>
    </r>
    <r>
      <rPr>
        <rFont val="Times New Roman"/>
        <color/>
        <sz val="11.0"/>
      </rPr>
      <t xml:space="preserve"> - γ</t>
    </r>
    <r>
      <rPr>
        <rFont val="Times New Roman"/>
        <color/>
        <sz val="8.0"/>
      </rPr>
      <t>a</t>
    </r>
    <r>
      <rPr>
        <rFont val="Times New Roman"/>
        <color/>
        <sz val="11.0"/>
      </rPr>
      <t xml:space="preserve"> D</t>
    </r>
    <r>
      <rPr>
        <rFont val="Times New Roman"/>
        <color/>
        <sz val="9.0"/>
      </rPr>
      <t>f</t>
    </r>
    <r>
      <rPr>
        <rFont val="Times New Roman"/>
        <color/>
        <sz val="11.0"/>
      </rPr>
      <t xml:space="preserve"> =</t>
    </r>
  </si>
  <si>
    <r>
      <rPr>
        <rFont val="Times New Roman"/>
        <color/>
        <sz val="11.0"/>
      </rPr>
      <t>A</t>
    </r>
    <r>
      <rPr>
        <rFont val="Times New Roman"/>
        <color/>
        <sz val="11.0"/>
      </rPr>
      <t xml:space="preserve"> = P</t>
    </r>
    <r>
      <rPr>
        <rFont val="Times New Roman"/>
        <color/>
        <sz val="8.0"/>
      </rPr>
      <t>о</t>
    </r>
    <r>
      <rPr>
        <rFont val="Times New Roman"/>
        <color/>
        <sz val="11.0"/>
      </rPr>
      <t xml:space="preserve"> / q</t>
    </r>
    <r>
      <rPr>
        <rFont val="Times New Roman"/>
        <color/>
        <sz val="8.0"/>
      </rPr>
      <t>na</t>
    </r>
    <r>
      <rPr>
        <rFont val="Times New Roman"/>
        <color/>
        <sz val="11.0"/>
      </rPr>
      <t xml:space="preserve"> =</t>
    </r>
  </si>
  <si>
    <t>15.2.2</t>
  </si>
  <si>
    <t xml:space="preserve"> </t>
  </si>
  <si>
    <r>
      <rPr>
        <rFont val="Times New Roman"/>
        <color/>
        <sz val="11.0"/>
      </rPr>
      <t>A</t>
    </r>
    <r>
      <rPr>
        <rFont val="Times New Roman"/>
        <color/>
        <sz val="8.0"/>
      </rPr>
      <t>f</t>
    </r>
    <r>
      <rPr>
        <rFont val="Times New Roman"/>
        <color/>
        <sz val="11.0"/>
      </rPr>
      <t xml:space="preserve"> = LB =</t>
    </r>
  </si>
  <si>
    <r>
      <rPr>
        <rFont val="Times New Roman"/>
        <color/>
        <sz val="11.0"/>
      </rPr>
      <t>q</t>
    </r>
    <r>
      <rPr>
        <rFont val="Times New Roman"/>
        <color/>
        <sz val="9.0"/>
      </rPr>
      <t>act</t>
    </r>
    <r>
      <rPr>
        <rFont val="Times New Roman"/>
        <color/>
        <sz val="11.0"/>
      </rPr>
      <t xml:space="preserve"> = P</t>
    </r>
    <r>
      <rPr>
        <rFont val="Times New Roman"/>
        <color/>
        <sz val="8.0"/>
      </rPr>
      <t>о</t>
    </r>
    <r>
      <rPr>
        <rFont val="Times New Roman"/>
        <color/>
        <sz val="11.0"/>
      </rPr>
      <t xml:space="preserve"> / A</t>
    </r>
    <r>
      <rPr>
        <rFont val="Times New Roman"/>
        <color/>
        <sz val="8.0"/>
      </rPr>
      <t>f</t>
    </r>
    <r>
      <rPr>
        <rFont val="Times New Roman"/>
        <color/>
        <sz val="11.0"/>
      </rPr>
      <t xml:space="preserve"> =</t>
    </r>
  </si>
  <si>
    <t>Determination of Ultimate design forces</t>
  </si>
  <si>
    <r>
      <rPr>
        <rFont val="Times New Roman"/>
        <color/>
        <sz val="11.0"/>
      </rPr>
      <t>P</t>
    </r>
    <r>
      <rPr>
        <rFont val="Times New Roman"/>
        <color/>
        <sz val="9.0"/>
      </rPr>
      <t>u</t>
    </r>
    <r>
      <rPr>
        <rFont val="Times New Roman"/>
        <color/>
        <sz val="11.0"/>
      </rPr>
      <t xml:space="preserve"> = 1.2 P </t>
    </r>
    <r>
      <rPr>
        <rFont val="Times New Roman"/>
        <color/>
        <sz val="8.0"/>
      </rPr>
      <t xml:space="preserve">D.L. </t>
    </r>
    <r>
      <rPr>
        <rFont val="Times New Roman"/>
        <color/>
        <sz val="11.0"/>
      </rPr>
      <t>+ 1.6 P</t>
    </r>
    <r>
      <rPr>
        <rFont val="Times New Roman"/>
        <color/>
        <sz val="8.0"/>
      </rPr>
      <t xml:space="preserve"> L.L. </t>
    </r>
    <r>
      <rPr>
        <rFont val="Times New Roman"/>
        <color/>
        <sz val="11.0"/>
      </rPr>
      <t>=</t>
    </r>
  </si>
  <si>
    <t>Eq. (9-2)</t>
  </si>
  <si>
    <r>
      <rPr>
        <rFont val="Times New Roman"/>
        <color/>
        <sz val="11.0"/>
      </rPr>
      <t>q</t>
    </r>
    <r>
      <rPr>
        <rFont val="Times New Roman"/>
        <color/>
        <sz val="10.0"/>
      </rPr>
      <t>s</t>
    </r>
    <r>
      <rPr>
        <rFont val="Times New Roman"/>
        <color/>
        <sz val="11.0"/>
      </rPr>
      <t xml:space="preserve"> = P</t>
    </r>
    <r>
      <rPr>
        <rFont val="Times New Roman"/>
        <color/>
        <sz val="9.0"/>
      </rPr>
      <t>u</t>
    </r>
    <r>
      <rPr>
        <rFont val="Times New Roman"/>
        <color/>
        <sz val="11.0"/>
      </rPr>
      <t xml:space="preserve"> / A</t>
    </r>
    <r>
      <rPr>
        <rFont val="Times New Roman"/>
        <color/>
        <sz val="8.0"/>
      </rPr>
      <t>f</t>
    </r>
    <r>
      <rPr>
        <rFont val="Times New Roman"/>
        <color/>
        <sz val="11.0"/>
      </rPr>
      <t xml:space="preserve">  =</t>
    </r>
  </si>
  <si>
    <t>15.2.1</t>
  </si>
  <si>
    <t xml:space="preserve">Assume footing thickness  ( h ) = </t>
  </si>
  <si>
    <r>
      <rPr>
        <rFont val="Times New Roman"/>
        <color/>
        <sz val="11.0"/>
      </rPr>
      <t xml:space="preserve">Then effective footing depth ( d ) = h - Cc - </t>
    </r>
    <r>
      <rPr>
        <rFont val="Times New Roman"/>
        <color/>
        <sz val="11.0"/>
      </rPr>
      <t>Ø =</t>
    </r>
  </si>
  <si>
    <t>Check of wide beam action</t>
  </si>
  <si>
    <r>
      <rPr>
        <rFont val="Symbol"/>
        <color/>
        <sz val="11.0"/>
      </rPr>
      <t xml:space="preserve">f </t>
    </r>
    <r>
      <rPr>
        <rFont val="Times New Roman"/>
        <color/>
        <sz val="11.0"/>
      </rPr>
      <t>= 0.75</t>
    </r>
  </si>
  <si>
    <t>9.3.2.3</t>
  </si>
  <si>
    <r>
      <rPr>
        <rFont val="Times New Roman"/>
        <color/>
        <sz val="11.0"/>
      </rPr>
      <t>V</t>
    </r>
    <r>
      <rPr>
        <rFont val="Times New Roman"/>
        <color/>
        <sz val="10.0"/>
      </rPr>
      <t>u</t>
    </r>
    <r>
      <rPr>
        <rFont val="Times New Roman"/>
        <color/>
        <sz val="11.0"/>
      </rPr>
      <t xml:space="preserve"> = qs B ( L/2 - a/2 - d ) =</t>
    </r>
  </si>
  <si>
    <r>
      <rPr>
        <rFont val="Symbol"/>
        <color/>
        <sz val="11.0"/>
      </rPr>
      <t>f</t>
    </r>
    <r>
      <rPr>
        <rFont val="Times New Roman"/>
        <color/>
        <sz val="11.0"/>
      </rPr>
      <t xml:space="preserve">Vn = </t>
    </r>
    <r>
      <rPr>
        <rFont val="Symbol"/>
        <color/>
        <sz val="11.0"/>
      </rPr>
      <t>f</t>
    </r>
    <r>
      <rPr>
        <rFont val="Times New Roman"/>
        <color/>
        <sz val="11.0"/>
      </rPr>
      <t xml:space="preserve">  0.17          B d =</t>
    </r>
  </si>
  <si>
    <t>Eq. (11-3)</t>
  </si>
  <si>
    <r>
      <rPr>
        <rFont val="Times New Roman"/>
        <color/>
        <sz val="11.0"/>
      </rPr>
      <t>V</t>
    </r>
    <r>
      <rPr>
        <rFont val="Times New Roman"/>
        <color/>
        <sz val="10.0"/>
      </rPr>
      <t>u</t>
    </r>
    <r>
      <rPr>
        <rFont val="Times New Roman"/>
        <color/>
        <sz val="11.0"/>
      </rPr>
      <t xml:space="preserve"> = qs L ( B/2 - b/2 - d ) =</t>
    </r>
  </si>
  <si>
    <r>
      <rPr>
        <rFont val="Symbol"/>
        <color/>
        <sz val="11.0"/>
      </rPr>
      <t>f</t>
    </r>
    <r>
      <rPr>
        <rFont val="Times New Roman"/>
        <color/>
        <sz val="11.0"/>
      </rPr>
      <t xml:space="preserve">Vn = </t>
    </r>
    <r>
      <rPr>
        <rFont val="Symbol"/>
        <color/>
        <sz val="11.0"/>
      </rPr>
      <t>f</t>
    </r>
    <r>
      <rPr>
        <rFont val="Times New Roman"/>
        <color/>
        <sz val="11.0"/>
      </rPr>
      <t xml:space="preserve">  0.17          L d =</t>
    </r>
  </si>
  <si>
    <t>Check of two way action</t>
  </si>
  <si>
    <t>bo = 2 (a + b + 2d) =</t>
  </si>
  <si>
    <t>β = a / b =</t>
  </si>
  <si>
    <t>interior column</t>
  </si>
  <si>
    <t xml:space="preserve">fVn  </t>
  </si>
  <si>
    <r>
      <rPr>
        <rFont val="Times New Roman"/>
        <color/>
        <sz val="11.0"/>
      </rPr>
      <t xml:space="preserve">= the minimum of </t>
    </r>
    <r>
      <rPr>
        <rFont val="Times New Roman"/>
        <color/>
        <sz val="28.0"/>
      </rPr>
      <t>[</t>
    </r>
  </si>
  <si>
    <t>0.17 (1 +2/β)</t>
  </si>
  <si>
    <t>=</t>
  </si>
  <si>
    <t>Eq. (11-31)</t>
  </si>
  <si>
    <r>
      <rPr>
        <rFont val="Times New Roman"/>
        <color/>
        <sz val="11.0"/>
      </rPr>
      <t>0.083 (α</t>
    </r>
    <r>
      <rPr>
        <rFont val="Times New Roman"/>
        <color/>
        <sz val="8.0"/>
      </rPr>
      <t>s</t>
    </r>
    <r>
      <rPr>
        <rFont val="Times New Roman"/>
        <color/>
        <sz val="11.0"/>
      </rPr>
      <t xml:space="preserve"> d / bo)</t>
    </r>
    <r>
      <rPr>
        <rFont val="Times New Roman"/>
        <color/>
        <sz val="8.0"/>
      </rPr>
      <t xml:space="preserve"> + </t>
    </r>
    <r>
      <rPr>
        <rFont val="Times New Roman"/>
        <color/>
        <sz val="11.0"/>
      </rPr>
      <t>2</t>
    </r>
  </si>
  <si>
    <t>Eq. (11-32)</t>
  </si>
  <si>
    <t xml:space="preserve">                bo d</t>
  </si>
  <si>
    <t>Eq. (11-33)</t>
  </si>
  <si>
    <t>Vu = qs (LB - (a + d) (b + d)) =</t>
  </si>
  <si>
    <r>
      <rPr>
        <rFont val="Symbol"/>
        <color/>
        <sz val="11.0"/>
      </rPr>
      <t>f</t>
    </r>
    <r>
      <rPr>
        <rFont val="Times New Roman"/>
        <color/>
        <sz val="11.0"/>
      </rPr>
      <t>Vn</t>
    </r>
    <r>
      <rPr>
        <rFont val="Times New Roman"/>
        <color/>
        <sz val="8.0"/>
      </rPr>
      <t xml:space="preserve"> </t>
    </r>
    <r>
      <rPr>
        <rFont val="Times New Roman"/>
        <color/>
        <sz val="11.0"/>
      </rPr>
      <t>=</t>
    </r>
    <r>
      <rPr>
        <rFont val="Times New Roman"/>
        <color/>
        <sz val="8.0"/>
      </rPr>
      <t xml:space="preserve"> </t>
    </r>
    <r>
      <rPr>
        <rFont val="Symbol"/>
        <color/>
        <sz val="11.0"/>
      </rPr>
      <t>f</t>
    </r>
    <r>
      <rPr>
        <rFont val="Times New Roman"/>
        <color/>
        <sz val="8.0"/>
      </rPr>
      <t xml:space="preserve"> </t>
    </r>
    <r>
      <rPr>
        <rFont val="Times New Roman"/>
        <color/>
        <sz val="11.0"/>
      </rPr>
      <t>*</t>
    </r>
  </si>
  <si>
    <t>bo d =</t>
  </si>
  <si>
    <t>Determination of footing reinforcement</t>
  </si>
  <si>
    <r>
      <rPr>
        <rFont val="Times New Roman"/>
        <color/>
        <sz val="11.0"/>
      </rPr>
      <t xml:space="preserve">Assume tension controlled section ( </t>
    </r>
    <r>
      <rPr>
        <rFont val="Symbol"/>
        <color/>
        <sz val="11.0"/>
      </rPr>
      <t>f</t>
    </r>
    <r>
      <rPr>
        <rFont val="Times New Roman"/>
        <color/>
        <sz val="11.0"/>
      </rPr>
      <t xml:space="preserve"> = 0.9 )</t>
    </r>
  </si>
  <si>
    <r>
      <rPr>
        <rFont val="Times New Roman"/>
        <i/>
        <color rgb="FF00B050"/>
        <sz val="11.0"/>
      </rPr>
      <t xml:space="preserve">9.3.2.1 </t>
    </r>
    <r>
      <rPr>
        <rFont val="Times New Roman"/>
        <b/>
        <i/>
        <color rgb="FF00B050"/>
        <sz val="12.0"/>
      </rPr>
      <t>,</t>
    </r>
    <r>
      <rPr>
        <rFont val="Times New Roman"/>
        <i/>
        <color rgb="FF00B050"/>
        <sz val="11.0"/>
      </rPr>
      <t xml:space="preserve"> 10.3.4</t>
    </r>
  </si>
  <si>
    <t>β₁ =</t>
  </si>
  <si>
    <r>
      <rPr>
        <rFont val="Symbol"/>
        <color/>
        <sz val="11.0"/>
      </rPr>
      <t>r</t>
    </r>
    <r>
      <rPr>
        <rFont val="Times New Roman"/>
        <color/>
        <sz val="9.0"/>
      </rPr>
      <t>min</t>
    </r>
    <r>
      <rPr>
        <rFont val="Times New Roman"/>
        <color/>
        <sz val="11.0"/>
      </rPr>
      <t xml:space="preserve"> =</t>
    </r>
  </si>
  <si>
    <t>7.12.2.1</t>
  </si>
  <si>
    <r>
      <rPr>
        <rFont val="Symbol"/>
        <color/>
        <sz val="11.0"/>
      </rPr>
      <t>r</t>
    </r>
    <r>
      <rPr>
        <rFont val="Times New Roman"/>
        <color/>
        <sz val="8.0"/>
      </rPr>
      <t>max</t>
    </r>
    <r>
      <rPr>
        <rFont val="Times New Roman"/>
        <color/>
        <sz val="11.0"/>
      </rPr>
      <t xml:space="preserve"> =</t>
    </r>
  </si>
  <si>
    <t>0.85 f'c</t>
  </si>
  <si>
    <t>β₁</t>
  </si>
  <si>
    <t>[</t>
  </si>
  <si>
    <t>]</t>
  </si>
  <si>
    <t>fy</t>
  </si>
  <si>
    <t>600 + fy</t>
  </si>
  <si>
    <t>Long direction</t>
  </si>
  <si>
    <r>
      <rPr>
        <rFont val="Times New Roman"/>
        <color/>
        <sz val="11.0"/>
      </rPr>
      <t>Mu = q</t>
    </r>
    <r>
      <rPr>
        <rFont val="Times New Roman"/>
        <color/>
        <sz val="10.0"/>
      </rPr>
      <t>s</t>
    </r>
    <r>
      <rPr>
        <rFont val="Times New Roman"/>
        <color/>
        <sz val="11.0"/>
      </rPr>
      <t xml:space="preserve"> B ( L - a )² /8 =</t>
    </r>
  </si>
  <si>
    <t>15.4.2</t>
  </si>
  <si>
    <t>Rn  =</t>
  </si>
  <si>
    <t>Mu</t>
  </si>
  <si>
    <r>
      <rPr>
        <rFont val="Symbol"/>
        <color/>
        <sz val="11.0"/>
      </rPr>
      <t>f</t>
    </r>
    <r>
      <rPr>
        <rFont val="Times New Roman"/>
        <color/>
        <sz val="11.0"/>
      </rPr>
      <t xml:space="preserve"> B d²</t>
    </r>
  </si>
  <si>
    <r>
      <rPr>
        <rFont val="Symbol"/>
        <color/>
        <sz val="11.0"/>
      </rPr>
      <t>r</t>
    </r>
    <r>
      <rPr>
        <rFont val="Times New Roman"/>
        <color/>
        <sz val="8.0"/>
      </rPr>
      <t>req</t>
    </r>
    <r>
      <rPr>
        <rFont val="Times New Roman"/>
        <color/>
        <sz val="11.0"/>
      </rPr>
      <t xml:space="preserve"> =</t>
    </r>
  </si>
  <si>
    <r>
      <rPr>
        <rFont val="Symbol"/>
        <color/>
        <sz val="11.0"/>
      </rPr>
      <t>r</t>
    </r>
    <r>
      <rPr>
        <rFont val="Times New Roman"/>
        <color/>
        <sz val="8.0"/>
      </rPr>
      <t>gross</t>
    </r>
    <r>
      <rPr>
        <rFont val="Times New Roman"/>
        <color/>
        <sz val="11.0"/>
      </rPr>
      <t xml:space="preserve"> = </t>
    </r>
    <r>
      <rPr>
        <rFont val="Symbol"/>
        <color/>
        <sz val="11.0"/>
      </rPr>
      <t>r</t>
    </r>
    <r>
      <rPr>
        <rFont val="Times New Roman"/>
        <color/>
        <sz val="8.0"/>
      </rPr>
      <t>req</t>
    </r>
    <r>
      <rPr>
        <rFont val="Times New Roman"/>
        <color/>
        <sz val="11.0"/>
      </rPr>
      <t xml:space="preserve"> ( d / h ) =</t>
    </r>
  </si>
  <si>
    <r>
      <rPr>
        <rFont val="Times New Roman"/>
        <color/>
        <sz val="11.0"/>
      </rPr>
      <t xml:space="preserve">As = </t>
    </r>
    <r>
      <rPr>
        <rFont val="Symbol"/>
        <color/>
        <sz val="11.0"/>
      </rPr>
      <t>r</t>
    </r>
    <r>
      <rPr>
        <rFont val="Times New Roman"/>
        <color/>
        <sz val="11.0"/>
      </rPr>
      <t xml:space="preserve"> B d =</t>
    </r>
  </si>
  <si>
    <t xml:space="preserve">(As = </t>
  </si>
  <si>
    <t>Bars spacing =</t>
  </si>
  <si>
    <t>10.5.4</t>
  </si>
  <si>
    <t>Short direction</t>
  </si>
  <si>
    <r>
      <rPr>
        <rFont val="Times New Roman"/>
        <color/>
        <sz val="11.0"/>
      </rPr>
      <t>Mu = q</t>
    </r>
    <r>
      <rPr>
        <rFont val="Times New Roman"/>
        <color/>
        <sz val="10.0"/>
      </rPr>
      <t>s</t>
    </r>
    <r>
      <rPr>
        <rFont val="Times New Roman"/>
        <color/>
        <sz val="11.0"/>
      </rPr>
      <t xml:space="preserve"> L ( B - b )² /8 =</t>
    </r>
  </si>
  <si>
    <r>
      <rPr>
        <rFont val="Symbol"/>
        <color/>
        <sz val="11.0"/>
      </rPr>
      <t>f</t>
    </r>
    <r>
      <rPr>
        <rFont val="Times New Roman"/>
        <color/>
        <sz val="11.0"/>
      </rPr>
      <t xml:space="preserve"> L d²</t>
    </r>
  </si>
  <si>
    <r>
      <rPr>
        <rFont val="Symbol"/>
        <color/>
        <sz val="11.0"/>
      </rPr>
      <t>r</t>
    </r>
    <r>
      <rPr>
        <rFont val="Times New Roman"/>
        <color/>
        <sz val="8.0"/>
      </rPr>
      <t>req</t>
    </r>
    <r>
      <rPr>
        <rFont val="Times New Roman"/>
        <color/>
        <sz val="11.0"/>
      </rPr>
      <t xml:space="preserve"> =</t>
    </r>
  </si>
  <si>
    <r>
      <rPr>
        <rFont val="Symbol"/>
        <color/>
        <sz val="11.0"/>
      </rPr>
      <t>r</t>
    </r>
    <r>
      <rPr>
        <rFont val="Times New Roman"/>
        <color/>
        <sz val="8.0"/>
      </rPr>
      <t>gross</t>
    </r>
    <r>
      <rPr>
        <rFont val="Times New Roman"/>
        <color/>
        <sz val="11.0"/>
      </rPr>
      <t xml:space="preserve"> = </t>
    </r>
    <r>
      <rPr>
        <rFont val="Symbol"/>
        <color/>
        <sz val="11.0"/>
      </rPr>
      <t>r</t>
    </r>
    <r>
      <rPr>
        <rFont val="Times New Roman"/>
        <color/>
        <sz val="8.0"/>
      </rPr>
      <t>req</t>
    </r>
    <r>
      <rPr>
        <rFont val="Times New Roman"/>
        <color/>
        <sz val="11.0"/>
      </rPr>
      <t xml:space="preserve"> ( d / h ) =</t>
    </r>
  </si>
  <si>
    <r>
      <rPr>
        <rFont val="Times New Roman"/>
        <color/>
        <sz val="11.0"/>
      </rPr>
      <t xml:space="preserve">As = </t>
    </r>
    <r>
      <rPr>
        <rFont val="Symbol"/>
        <color/>
        <sz val="11.0"/>
      </rPr>
      <t>r</t>
    </r>
    <r>
      <rPr>
        <rFont val="Times New Roman"/>
        <color/>
        <sz val="11.0"/>
      </rPr>
      <t xml:space="preserve"> L d =</t>
    </r>
  </si>
  <si>
    <t xml:space="preserve">uniformaly over centered zone of width equal to footing short dimension </t>
  </si>
  <si>
    <t>Check development of reinforcement</t>
  </si>
  <si>
    <r>
      <rPr>
        <rFont val="Times New Roman"/>
        <color/>
        <sz val="12.0"/>
      </rPr>
      <t>L</t>
    </r>
    <r>
      <rPr>
        <rFont val="Times New Roman"/>
        <color/>
        <sz val="8.0"/>
      </rPr>
      <t xml:space="preserve">d </t>
    </r>
    <r>
      <rPr>
        <rFont val="Times New Roman"/>
        <color/>
        <sz val="11.0"/>
      </rPr>
      <t>=</t>
    </r>
    <r>
      <rPr>
        <rFont val="Times New Roman"/>
        <color/>
        <sz val="8.0"/>
      </rPr>
      <t xml:space="preserve"> </t>
    </r>
    <r>
      <rPr>
        <rFont val="Times New Roman"/>
        <color/>
        <sz val="16.0"/>
      </rPr>
      <t>[</t>
    </r>
  </si>
  <si>
    <t>*</t>
  </si>
  <si>
    <r>
      <rPr>
        <rFont val="Times New Roman"/>
        <color/>
        <sz val="11.0"/>
      </rPr>
      <t>ψ</t>
    </r>
    <r>
      <rPr>
        <rFont val="Times New Roman"/>
        <color/>
        <sz val="8.0"/>
      </rPr>
      <t xml:space="preserve">t </t>
    </r>
    <r>
      <rPr>
        <rFont val="Times New Roman"/>
        <color/>
        <sz val="11.0"/>
      </rPr>
      <t xml:space="preserve"> ψ</t>
    </r>
    <r>
      <rPr>
        <rFont val="Times New Roman"/>
        <color/>
        <sz val="8.0"/>
      </rPr>
      <t xml:space="preserve">e </t>
    </r>
    <r>
      <rPr>
        <rFont val="Times New Roman"/>
        <color/>
        <sz val="11.0"/>
      </rPr>
      <t xml:space="preserve"> ψ</t>
    </r>
    <r>
      <rPr>
        <rFont val="Times New Roman"/>
        <color/>
        <sz val="8.0"/>
      </rPr>
      <t>s</t>
    </r>
  </si>
  <si>
    <r>
      <rPr>
        <rFont val="Times New Roman"/>
        <color/>
        <sz val="18.0"/>
      </rPr>
      <t>]</t>
    </r>
    <r>
      <rPr>
        <rFont val="Times New Roman"/>
        <color/>
        <sz val="16.0"/>
      </rPr>
      <t xml:space="preserve"> </t>
    </r>
    <r>
      <rPr>
        <rFont val="Times New Roman"/>
        <color/>
        <sz val="12.0"/>
      </rPr>
      <t>d</t>
    </r>
    <r>
      <rPr>
        <rFont val="Times New Roman"/>
        <color/>
        <sz val="8.0"/>
      </rPr>
      <t>b</t>
    </r>
  </si>
  <si>
    <t>Eq. (12-1)</t>
  </si>
  <si>
    <t>1.1 λ</t>
  </si>
  <si>
    <r>
      <rPr>
        <rFont val="Times New Roman"/>
        <color/>
        <sz val="11.0"/>
      </rPr>
      <t>(C</t>
    </r>
    <r>
      <rPr>
        <rFont val="Times New Roman"/>
        <color/>
        <sz val="8.0"/>
      </rPr>
      <t>b</t>
    </r>
    <r>
      <rPr>
        <rFont val="Times New Roman"/>
        <color/>
        <sz val="11.0"/>
      </rPr>
      <t xml:space="preserve"> + K</t>
    </r>
    <r>
      <rPr>
        <rFont val="Times New Roman"/>
        <color/>
        <sz val="8.0"/>
      </rPr>
      <t>tr)/</t>
    </r>
    <r>
      <rPr>
        <rFont val="Times New Roman"/>
        <color/>
        <sz val="11.0"/>
      </rPr>
      <t>d</t>
    </r>
    <r>
      <rPr>
        <rFont val="Times New Roman"/>
        <color/>
        <sz val="8.0"/>
      </rPr>
      <t>b</t>
    </r>
  </si>
  <si>
    <r>
      <rPr>
        <rFont val="Times New Roman"/>
        <color/>
        <sz val="11.0"/>
      </rPr>
      <t>C</t>
    </r>
    <r>
      <rPr>
        <rFont val="Times New Roman"/>
        <color/>
        <sz val="8.0"/>
      </rPr>
      <t>b</t>
    </r>
    <r>
      <rPr>
        <rFont val="Times New Roman"/>
        <color/>
        <sz val="11.0"/>
      </rPr>
      <t xml:space="preserve"> = the minimum of   </t>
    </r>
    <r>
      <rPr>
        <rFont val="Times New Roman"/>
        <color/>
        <sz val="16.0"/>
      </rPr>
      <t>[</t>
    </r>
  </si>
  <si>
    <t>clear cover</t>
  </si>
  <si>
    <t>12.2.3</t>
  </si>
  <si>
    <t>one half bar spacing</t>
  </si>
  <si>
    <t>Ktr = 0</t>
  </si>
  <si>
    <r>
      <rPr>
        <rFont val="Times New Roman"/>
        <color/>
        <sz val="11.0"/>
      </rPr>
      <t>(C</t>
    </r>
    <r>
      <rPr>
        <rFont val="Times New Roman"/>
        <color/>
        <sz val="8.0"/>
      </rPr>
      <t>b</t>
    </r>
    <r>
      <rPr>
        <rFont val="Times New Roman"/>
        <color/>
        <sz val="11.0"/>
      </rPr>
      <t xml:space="preserve"> + K</t>
    </r>
    <r>
      <rPr>
        <rFont val="Times New Roman"/>
        <color/>
        <sz val="8.0"/>
      </rPr>
      <t xml:space="preserve">tr) </t>
    </r>
    <r>
      <rPr>
        <rFont val="Times New Roman"/>
        <color/>
        <sz val="11.0"/>
      </rPr>
      <t>/ d</t>
    </r>
    <r>
      <rPr>
        <rFont val="Times New Roman"/>
        <color/>
        <sz val="8.0"/>
      </rPr>
      <t xml:space="preserve">b </t>
    </r>
    <r>
      <rPr>
        <rFont val="Times New Roman"/>
        <color/>
        <sz val="11.0"/>
      </rPr>
      <t>=</t>
    </r>
  </si>
  <si>
    <t>ψt</t>
  </si>
  <si>
    <t>( bottom bars )</t>
  </si>
  <si>
    <t>note  ψt ψe =</t>
  </si>
  <si>
    <t>12.2.4 ( a )</t>
  </si>
  <si>
    <t>ψe</t>
  </si>
  <si>
    <t>( uncoated bars )</t>
  </si>
  <si>
    <t>12.2.4 ( b )</t>
  </si>
  <si>
    <t>ψs</t>
  </si>
  <si>
    <t>12.2.4 ( c )</t>
  </si>
  <si>
    <t xml:space="preserve">λ </t>
  </si>
  <si>
    <t>( normal weight concrete )</t>
  </si>
  <si>
    <t>12.2.4 ( d )</t>
  </si>
  <si>
    <r>
      <rPr>
        <rFont val="Times New Roman"/>
        <color/>
        <sz val="12.0"/>
      </rPr>
      <t>L</t>
    </r>
    <r>
      <rPr>
        <rFont val="Times New Roman"/>
        <color/>
        <sz val="8.0"/>
      </rPr>
      <t xml:space="preserve">d </t>
    </r>
    <r>
      <rPr>
        <rFont val="Times New Roman"/>
        <color/>
        <sz val="11.0"/>
      </rPr>
      <t>=</t>
    </r>
    <r>
      <rPr>
        <rFont val="Times New Roman"/>
        <color/>
        <sz val="8.0"/>
      </rPr>
      <t xml:space="preserve"> </t>
    </r>
    <r>
      <rPr>
        <rFont val="Times New Roman"/>
        <color/>
        <sz val="16.0"/>
      </rPr>
      <t>[</t>
    </r>
  </si>
  <si>
    <r>
      <rPr>
        <rFont val="Times New Roman"/>
        <color/>
        <sz val="11.0"/>
      </rPr>
      <t>ψ</t>
    </r>
    <r>
      <rPr>
        <rFont val="Times New Roman"/>
        <color/>
        <sz val="8.0"/>
      </rPr>
      <t xml:space="preserve">t </t>
    </r>
    <r>
      <rPr>
        <rFont val="Times New Roman"/>
        <color/>
        <sz val="11.0"/>
      </rPr>
      <t xml:space="preserve"> ψ</t>
    </r>
    <r>
      <rPr>
        <rFont val="Times New Roman"/>
        <color/>
        <sz val="8.0"/>
      </rPr>
      <t xml:space="preserve">e </t>
    </r>
    <r>
      <rPr>
        <rFont val="Times New Roman"/>
        <color/>
        <sz val="11.0"/>
      </rPr>
      <t xml:space="preserve"> ψ</t>
    </r>
    <r>
      <rPr>
        <rFont val="Times New Roman"/>
        <color/>
        <sz val="8.0"/>
      </rPr>
      <t>s</t>
    </r>
  </si>
  <si>
    <r>
      <rPr>
        <rFont val="Times New Roman"/>
        <color/>
        <sz val="18.0"/>
      </rPr>
      <t>]</t>
    </r>
    <r>
      <rPr>
        <rFont val="Times New Roman"/>
        <color/>
        <sz val="16.0"/>
      </rPr>
      <t xml:space="preserve"> </t>
    </r>
    <r>
      <rPr>
        <rFont val="Times New Roman"/>
        <color/>
        <sz val="12.0"/>
      </rPr>
      <t>d</t>
    </r>
    <r>
      <rPr>
        <rFont val="Times New Roman"/>
        <color/>
        <sz val="8.0"/>
      </rPr>
      <t xml:space="preserve">b </t>
    </r>
    <r>
      <rPr>
        <rFont val="Times New Roman"/>
        <color/>
        <sz val="11.0"/>
      </rPr>
      <t>=</t>
    </r>
  </si>
  <si>
    <r>
      <rPr>
        <rFont val="Times New Roman"/>
        <color/>
        <sz val="11.0"/>
      </rPr>
      <t>(C</t>
    </r>
    <r>
      <rPr>
        <rFont val="Times New Roman"/>
        <color/>
        <sz val="8.0"/>
      </rPr>
      <t>b</t>
    </r>
    <r>
      <rPr>
        <rFont val="Times New Roman"/>
        <color/>
        <sz val="11.0"/>
      </rPr>
      <t xml:space="preserve"> + K</t>
    </r>
    <r>
      <rPr>
        <rFont val="Times New Roman"/>
        <color/>
        <sz val="8.0"/>
      </rPr>
      <t>tr)/</t>
    </r>
    <r>
      <rPr>
        <rFont val="Times New Roman"/>
        <color/>
        <sz val="11.0"/>
      </rPr>
      <t>d</t>
    </r>
    <r>
      <rPr>
        <rFont val="Times New Roman"/>
        <color/>
        <sz val="8.0"/>
      </rPr>
      <t>b</t>
    </r>
  </si>
  <si>
    <r>
      <rPr>
        <rFont val="Times New Roman"/>
        <color/>
        <sz val="11.0"/>
      </rPr>
      <t>L</t>
    </r>
    <r>
      <rPr>
        <rFont val="Times New Roman"/>
        <color/>
        <sz val="8.0"/>
      </rPr>
      <t>available</t>
    </r>
    <r>
      <rPr>
        <rFont val="Times New Roman"/>
        <color/>
        <sz val="11.0"/>
      </rPr>
      <t xml:space="preserve"> = ( L - a ) /2 -Cc =</t>
    </r>
  </si>
  <si>
    <r>
      <rPr>
        <rFont val="Times New Roman"/>
        <color/>
        <sz val="12.0"/>
      </rPr>
      <t>L</t>
    </r>
    <r>
      <rPr>
        <rFont val="Times New Roman"/>
        <color/>
        <sz val="8.0"/>
      </rPr>
      <t xml:space="preserve">d </t>
    </r>
    <r>
      <rPr>
        <rFont val="Times New Roman"/>
        <color/>
        <sz val="11.0"/>
      </rPr>
      <t>=</t>
    </r>
    <r>
      <rPr>
        <rFont val="Times New Roman"/>
        <color/>
        <sz val="8.0"/>
      </rPr>
      <t xml:space="preserve"> </t>
    </r>
    <r>
      <rPr>
        <rFont val="Times New Roman"/>
        <color/>
        <sz val="16.0"/>
      </rPr>
      <t>[</t>
    </r>
  </si>
  <si>
    <r>
      <rPr>
        <rFont val="Times New Roman"/>
        <color/>
        <sz val="11.0"/>
      </rPr>
      <t>ψ</t>
    </r>
    <r>
      <rPr>
        <rFont val="Times New Roman"/>
        <color/>
        <sz val="8.0"/>
      </rPr>
      <t xml:space="preserve">t </t>
    </r>
    <r>
      <rPr>
        <rFont val="Times New Roman"/>
        <color/>
        <sz val="11.0"/>
      </rPr>
      <t xml:space="preserve"> ψ</t>
    </r>
    <r>
      <rPr>
        <rFont val="Times New Roman"/>
        <color/>
        <sz val="8.0"/>
      </rPr>
      <t xml:space="preserve">e </t>
    </r>
    <r>
      <rPr>
        <rFont val="Times New Roman"/>
        <color/>
        <sz val="11.0"/>
      </rPr>
      <t xml:space="preserve"> ψ</t>
    </r>
    <r>
      <rPr>
        <rFont val="Times New Roman"/>
        <color/>
        <sz val="8.0"/>
      </rPr>
      <t>s</t>
    </r>
  </si>
  <si>
    <r>
      <rPr>
        <rFont val="Times New Roman"/>
        <color/>
        <sz val="18.0"/>
      </rPr>
      <t>]</t>
    </r>
    <r>
      <rPr>
        <rFont val="Times New Roman"/>
        <color/>
        <sz val="16.0"/>
      </rPr>
      <t xml:space="preserve"> </t>
    </r>
    <r>
      <rPr>
        <rFont val="Times New Roman"/>
        <color/>
        <sz val="12.0"/>
      </rPr>
      <t>d</t>
    </r>
    <r>
      <rPr>
        <rFont val="Times New Roman"/>
        <color/>
        <sz val="8.0"/>
      </rPr>
      <t>b</t>
    </r>
  </si>
  <si>
    <r>
      <rPr>
        <rFont val="Times New Roman"/>
        <color/>
        <sz val="11.0"/>
      </rPr>
      <t>(C</t>
    </r>
    <r>
      <rPr>
        <rFont val="Times New Roman"/>
        <color/>
        <sz val="8.0"/>
      </rPr>
      <t>b</t>
    </r>
    <r>
      <rPr>
        <rFont val="Times New Roman"/>
        <color/>
        <sz val="11.0"/>
      </rPr>
      <t xml:space="preserve"> + K</t>
    </r>
    <r>
      <rPr>
        <rFont val="Times New Roman"/>
        <color/>
        <sz val="8.0"/>
      </rPr>
      <t>tr)/</t>
    </r>
    <r>
      <rPr>
        <rFont val="Times New Roman"/>
        <color/>
        <sz val="11.0"/>
      </rPr>
      <t>d</t>
    </r>
    <r>
      <rPr>
        <rFont val="Times New Roman"/>
        <color/>
        <sz val="8.0"/>
      </rPr>
      <t>b</t>
    </r>
  </si>
  <si>
    <r>
      <rPr>
        <rFont val="Times New Roman"/>
        <color/>
        <sz val="11.0"/>
      </rPr>
      <t>C</t>
    </r>
    <r>
      <rPr>
        <rFont val="Times New Roman"/>
        <color/>
        <sz val="8.0"/>
      </rPr>
      <t>b</t>
    </r>
    <r>
      <rPr>
        <rFont val="Times New Roman"/>
        <color/>
        <sz val="11.0"/>
      </rPr>
      <t xml:space="preserve"> = the minimum of   </t>
    </r>
    <r>
      <rPr>
        <rFont val="Times New Roman"/>
        <color/>
        <sz val="16.0"/>
      </rPr>
      <t>[</t>
    </r>
  </si>
  <si>
    <r>
      <rPr>
        <rFont val="Times New Roman"/>
        <color/>
        <sz val="11.0"/>
      </rPr>
      <t>(C</t>
    </r>
    <r>
      <rPr>
        <rFont val="Times New Roman"/>
        <color/>
        <sz val="8.0"/>
      </rPr>
      <t>b</t>
    </r>
    <r>
      <rPr>
        <rFont val="Times New Roman"/>
        <color/>
        <sz val="11.0"/>
      </rPr>
      <t xml:space="preserve"> + K</t>
    </r>
    <r>
      <rPr>
        <rFont val="Times New Roman"/>
        <color/>
        <sz val="8.0"/>
      </rPr>
      <t xml:space="preserve">tr) </t>
    </r>
    <r>
      <rPr>
        <rFont val="Times New Roman"/>
        <color/>
        <sz val="11.0"/>
      </rPr>
      <t>/ d</t>
    </r>
    <r>
      <rPr>
        <rFont val="Times New Roman"/>
        <color/>
        <sz val="8.0"/>
      </rPr>
      <t xml:space="preserve">b </t>
    </r>
    <r>
      <rPr>
        <rFont val="Times New Roman"/>
        <color/>
        <sz val="11.0"/>
      </rPr>
      <t>=</t>
    </r>
  </si>
  <si>
    <r>
      <rPr>
        <rFont val="Times New Roman"/>
        <color/>
        <sz val="12.0"/>
      </rPr>
      <t>L</t>
    </r>
    <r>
      <rPr>
        <rFont val="Times New Roman"/>
        <color/>
        <sz val="8.0"/>
      </rPr>
      <t xml:space="preserve">d </t>
    </r>
    <r>
      <rPr>
        <rFont val="Times New Roman"/>
        <color/>
        <sz val="11.0"/>
      </rPr>
      <t>=</t>
    </r>
    <r>
      <rPr>
        <rFont val="Times New Roman"/>
        <color/>
        <sz val="8.0"/>
      </rPr>
      <t xml:space="preserve"> </t>
    </r>
    <r>
      <rPr>
        <rFont val="Times New Roman"/>
        <color/>
        <sz val="16.0"/>
      </rPr>
      <t>[</t>
    </r>
  </si>
  <si>
    <r>
      <rPr>
        <rFont val="Times New Roman"/>
        <color/>
        <sz val="11.0"/>
      </rPr>
      <t>ψ</t>
    </r>
    <r>
      <rPr>
        <rFont val="Times New Roman"/>
        <color/>
        <sz val="8.0"/>
      </rPr>
      <t xml:space="preserve">t </t>
    </r>
    <r>
      <rPr>
        <rFont val="Times New Roman"/>
        <color/>
        <sz val="11.0"/>
      </rPr>
      <t xml:space="preserve"> ψ</t>
    </r>
    <r>
      <rPr>
        <rFont val="Times New Roman"/>
        <color/>
        <sz val="8.0"/>
      </rPr>
      <t xml:space="preserve">e </t>
    </r>
    <r>
      <rPr>
        <rFont val="Times New Roman"/>
        <color/>
        <sz val="11.0"/>
      </rPr>
      <t xml:space="preserve"> ψ</t>
    </r>
    <r>
      <rPr>
        <rFont val="Times New Roman"/>
        <color/>
        <sz val="8.0"/>
      </rPr>
      <t>s</t>
    </r>
  </si>
  <si>
    <r>
      <rPr>
        <rFont val="Times New Roman"/>
        <color/>
        <sz val="18.0"/>
      </rPr>
      <t>]</t>
    </r>
    <r>
      <rPr>
        <rFont val="Times New Roman"/>
        <color/>
        <sz val="16.0"/>
      </rPr>
      <t xml:space="preserve"> </t>
    </r>
    <r>
      <rPr>
        <rFont val="Times New Roman"/>
        <color/>
        <sz val="12.0"/>
      </rPr>
      <t>d</t>
    </r>
    <r>
      <rPr>
        <rFont val="Times New Roman"/>
        <color/>
        <sz val="8.0"/>
      </rPr>
      <t xml:space="preserve">b </t>
    </r>
    <r>
      <rPr>
        <rFont val="Times New Roman"/>
        <color/>
        <sz val="11.0"/>
      </rPr>
      <t>=</t>
    </r>
  </si>
  <si>
    <r>
      <rPr>
        <rFont val="Times New Roman"/>
        <color/>
        <sz val="11.0"/>
      </rPr>
      <t>(C</t>
    </r>
    <r>
      <rPr>
        <rFont val="Times New Roman"/>
        <color/>
        <sz val="8.0"/>
      </rPr>
      <t>b</t>
    </r>
    <r>
      <rPr>
        <rFont val="Times New Roman"/>
        <color/>
        <sz val="11.0"/>
      </rPr>
      <t xml:space="preserve"> + K</t>
    </r>
    <r>
      <rPr>
        <rFont val="Times New Roman"/>
        <color/>
        <sz val="8.0"/>
      </rPr>
      <t>tr)/</t>
    </r>
    <r>
      <rPr>
        <rFont val="Times New Roman"/>
        <color/>
        <sz val="11.0"/>
      </rPr>
      <t>d</t>
    </r>
    <r>
      <rPr>
        <rFont val="Times New Roman"/>
        <color/>
        <sz val="8.0"/>
      </rPr>
      <t>b</t>
    </r>
  </si>
  <si>
    <r>
      <rPr>
        <rFont val="Times New Roman"/>
        <color/>
        <sz val="11.0"/>
      </rPr>
      <t>L</t>
    </r>
    <r>
      <rPr>
        <rFont val="Times New Roman"/>
        <color/>
        <sz val="8.0"/>
      </rPr>
      <t>available</t>
    </r>
    <r>
      <rPr>
        <rFont val="Times New Roman"/>
        <color/>
        <sz val="11.0"/>
      </rPr>
      <t xml:space="preserve"> = ( B - b ) /2 -Cc =</t>
    </r>
  </si>
  <si>
    <r>
      <rPr>
        <rFont val="Arial"/>
        <b/>
        <color rgb="FF3333FF"/>
        <sz val="11.0"/>
      </rPr>
      <t>Check tensile strain (</t>
    </r>
    <r>
      <rPr>
        <rFont val="Times New Roman"/>
        <b/>
        <color rgb="FF3333FF"/>
        <sz val="14.0"/>
      </rPr>
      <t>ε</t>
    </r>
    <r>
      <rPr>
        <rFont val="Times New Roman"/>
        <b/>
        <color rgb="FF3333FF"/>
        <sz val="8.0"/>
      </rPr>
      <t>t</t>
    </r>
    <r>
      <rPr>
        <rFont val="Times New Roman"/>
        <b/>
        <color rgb="FF3333FF"/>
        <sz val="11.0"/>
      </rPr>
      <t>)</t>
    </r>
  </si>
  <si>
    <r>
      <rPr>
        <rFont val="Times New Roman"/>
        <color/>
        <sz val="11.0"/>
      </rPr>
      <t>a</t>
    </r>
    <r>
      <rPr>
        <rFont val="Times New Roman"/>
        <color/>
        <sz val="8.0"/>
      </rPr>
      <t xml:space="preserve"> </t>
    </r>
    <r>
      <rPr>
        <rFont val="Times New Roman"/>
        <color/>
        <sz val="11.0"/>
      </rPr>
      <t>=</t>
    </r>
  </si>
  <si>
    <t>As fy</t>
  </si>
  <si>
    <t>0.85 f'c B</t>
  </si>
  <si>
    <r>
      <rPr>
        <rFont val="Times New Roman"/>
        <color/>
        <sz val="11.0"/>
      </rPr>
      <t>C</t>
    </r>
    <r>
      <rPr>
        <rFont val="Times New Roman"/>
        <color/>
        <sz val="8.0"/>
      </rPr>
      <t xml:space="preserve"> </t>
    </r>
    <r>
      <rPr>
        <rFont val="Times New Roman"/>
        <color/>
        <sz val="11.0"/>
      </rPr>
      <t>=</t>
    </r>
  </si>
  <si>
    <t>a</t>
  </si>
  <si>
    <t xml:space="preserve"> β₁</t>
  </si>
  <si>
    <r>
      <rPr>
        <rFont val="Times New Roman"/>
        <color/>
        <sz val="16.0"/>
      </rPr>
      <t>ε</t>
    </r>
    <r>
      <rPr>
        <rFont val="Times New Roman"/>
        <color/>
        <sz val="8.0"/>
      </rPr>
      <t>t</t>
    </r>
  </si>
  <si>
    <r>
      <rPr>
        <rFont val="Times New Roman"/>
        <color/>
        <sz val="11.0"/>
      </rPr>
      <t xml:space="preserve">= </t>
    </r>
    <r>
      <rPr>
        <rFont val="Times New Roman"/>
        <color/>
        <sz val="16.0"/>
      </rPr>
      <t>(</t>
    </r>
  </si>
  <si>
    <r>
      <rPr>
        <rFont val="Times New Roman"/>
        <color/>
        <sz val="16.0"/>
      </rPr>
      <t>)</t>
    </r>
    <r>
      <rPr>
        <rFont val="Times New Roman"/>
        <color/>
        <sz val="11.0"/>
      </rPr>
      <t xml:space="preserve"> d</t>
    </r>
  </si>
  <si>
    <t>- 0.003 =</t>
  </si>
  <si>
    <t>10.3.4</t>
  </si>
  <si>
    <t>C</t>
  </si>
  <si>
    <t>Forces transfer at column footing interface</t>
  </si>
  <si>
    <t>Bearing strengrh of footing</t>
  </si>
  <si>
    <r>
      <rPr>
        <rFont val="Symbol"/>
        <color/>
        <sz val="11.0"/>
      </rPr>
      <t xml:space="preserve">f </t>
    </r>
    <r>
      <rPr>
        <rFont val="Times New Roman"/>
        <color/>
        <sz val="11.0"/>
      </rPr>
      <t>= 0.65</t>
    </r>
  </si>
  <si>
    <t>9.3.2.4</t>
  </si>
  <si>
    <r>
      <rPr>
        <rFont val="Noto Sans Symbols"/>
        <color/>
        <sz val="11.0"/>
      </rPr>
      <t>f</t>
    </r>
    <r>
      <rPr>
        <rFont val="Times New Roman"/>
        <color/>
        <sz val="11.0"/>
      </rPr>
      <t>P</t>
    </r>
    <r>
      <rPr>
        <rFont val="Times New Roman"/>
        <color/>
        <sz val="8.0"/>
      </rPr>
      <t xml:space="preserve">nb </t>
    </r>
    <r>
      <rPr>
        <rFont val="Times New Roman"/>
        <color/>
        <sz val="11.0"/>
      </rPr>
      <t xml:space="preserve">= </t>
    </r>
    <r>
      <rPr>
        <rFont val="Symbol"/>
        <color/>
        <sz val="11.0"/>
      </rPr>
      <t>f</t>
    </r>
    <r>
      <rPr>
        <rFont val="Times New Roman"/>
        <color/>
        <sz val="11.0"/>
      </rPr>
      <t xml:space="preserve"> ( 0.85 f'c</t>
    </r>
    <r>
      <rPr>
        <rFont val="Times New Roman"/>
        <color/>
        <sz val="8.0"/>
      </rPr>
      <t>f</t>
    </r>
    <r>
      <rPr>
        <rFont val="Times New Roman"/>
        <color/>
        <sz val="11.0"/>
      </rPr>
      <t xml:space="preserve"> A</t>
    </r>
    <r>
      <rPr>
        <rFont val="Calibri"/>
        <color/>
        <sz val="11.0"/>
      </rPr>
      <t>₁</t>
    </r>
    <r>
      <rPr>
        <rFont val="Times New Roman"/>
        <color/>
        <sz val="11.0"/>
      </rPr>
      <t xml:space="preserve"> )</t>
    </r>
  </si>
  <si>
    <t>10.14.1</t>
  </si>
  <si>
    <r>
      <rPr>
        <rFont val="Times New Roman"/>
        <color/>
        <sz val="11.0"/>
      </rPr>
      <t>A</t>
    </r>
    <r>
      <rPr>
        <rFont val="Calibri"/>
        <color/>
        <sz val="11.0"/>
      </rPr>
      <t>₁</t>
    </r>
    <r>
      <rPr>
        <rFont val="Times New Roman"/>
        <color/>
        <sz val="11.0"/>
      </rPr>
      <t xml:space="preserve"> = a b</t>
    </r>
    <r>
      <rPr>
        <rFont val="Times New Roman"/>
        <color/>
        <sz val="8.0"/>
      </rPr>
      <t xml:space="preserve"> </t>
    </r>
    <r>
      <rPr>
        <rFont val="Times New Roman"/>
        <color/>
        <sz val="11.0"/>
      </rPr>
      <t>=</t>
    </r>
  </si>
  <si>
    <t>A₂ =</t>
  </si>
  <si>
    <r>
      <rPr>
        <rFont val="Noto Sans Symbols"/>
        <color/>
        <sz val="11.0"/>
      </rPr>
      <t>f</t>
    </r>
    <r>
      <rPr>
        <rFont val="Times New Roman"/>
        <color/>
        <sz val="11.0"/>
      </rPr>
      <t>P</t>
    </r>
    <r>
      <rPr>
        <rFont val="Times New Roman"/>
        <color/>
        <sz val="8.0"/>
      </rPr>
      <t xml:space="preserve">nb </t>
    </r>
    <r>
      <rPr>
        <rFont val="Times New Roman"/>
        <color/>
        <sz val="11.0"/>
      </rPr>
      <t>=</t>
    </r>
  </si>
  <si>
    <t>Bearing strengrh of column</t>
  </si>
  <si>
    <r>
      <rPr>
        <rFont val="Noto Sans Symbols"/>
        <color/>
        <sz val="11.0"/>
      </rPr>
      <t>f</t>
    </r>
    <r>
      <rPr>
        <rFont val="Times New Roman"/>
        <color/>
        <sz val="11.0"/>
      </rPr>
      <t>P</t>
    </r>
    <r>
      <rPr>
        <rFont val="Times New Roman"/>
        <color/>
        <sz val="8.0"/>
      </rPr>
      <t xml:space="preserve">nb </t>
    </r>
    <r>
      <rPr>
        <rFont val="Times New Roman"/>
        <color/>
        <sz val="11.0"/>
      </rPr>
      <t xml:space="preserve">= </t>
    </r>
    <r>
      <rPr>
        <rFont val="Symbol"/>
        <color/>
        <sz val="11.0"/>
      </rPr>
      <t>f</t>
    </r>
    <r>
      <rPr>
        <rFont val="Times New Roman"/>
        <color/>
        <sz val="11.0"/>
      </rPr>
      <t xml:space="preserve"> ( 0.85 f'c</t>
    </r>
    <r>
      <rPr>
        <rFont val="Times New Roman"/>
        <color/>
        <sz val="9.0"/>
      </rPr>
      <t>c</t>
    </r>
    <r>
      <rPr>
        <rFont val="Times New Roman"/>
        <color/>
        <sz val="11.0"/>
      </rPr>
      <t xml:space="preserve"> A</t>
    </r>
    <r>
      <rPr>
        <rFont val="Calibri"/>
        <color/>
        <sz val="11.0"/>
      </rPr>
      <t>₁</t>
    </r>
    <r>
      <rPr>
        <rFont val="Times New Roman"/>
        <color/>
        <sz val="11.0"/>
      </rPr>
      <t xml:space="preserve"> )</t>
    </r>
  </si>
  <si>
    <r>
      <rPr>
        <rFont val="Noto Sans Symbols"/>
        <color/>
        <sz val="11.0"/>
      </rPr>
      <t>f</t>
    </r>
    <r>
      <rPr>
        <rFont val="Times New Roman"/>
        <color/>
        <sz val="11.0"/>
      </rPr>
      <t>P</t>
    </r>
    <r>
      <rPr>
        <rFont val="Times New Roman"/>
        <color/>
        <sz val="8.0"/>
      </rPr>
      <t xml:space="preserve">nb </t>
    </r>
    <r>
      <rPr>
        <rFont val="Times New Roman"/>
        <color/>
        <sz val="11.0"/>
      </rPr>
      <t>=</t>
    </r>
  </si>
  <si>
    <r>
      <rPr>
        <rFont val="Noto Sans Symbols"/>
        <color/>
        <sz val="11.0"/>
      </rPr>
      <t>f</t>
    </r>
    <r>
      <rPr>
        <rFont val="Times New Roman"/>
        <color/>
        <sz val="11.0"/>
      </rPr>
      <t>P</t>
    </r>
    <r>
      <rPr>
        <rFont val="Times New Roman"/>
        <color/>
        <sz val="8.0"/>
      </rPr>
      <t xml:space="preserve">nb </t>
    </r>
    <r>
      <rPr>
        <rFont val="Times New Roman"/>
        <color/>
        <sz val="11.0"/>
      </rPr>
      <t xml:space="preserve">= least of </t>
    </r>
    <r>
      <rPr>
        <rFont val="Symbol"/>
        <color/>
        <sz val="11.0"/>
      </rPr>
      <t>f</t>
    </r>
    <r>
      <rPr>
        <rFont val="Times New Roman"/>
        <color/>
        <sz val="11.0"/>
      </rPr>
      <t>Pnb</t>
    </r>
    <r>
      <rPr>
        <rFont val="Times New Roman"/>
        <color/>
        <sz val="8.0"/>
      </rPr>
      <t xml:space="preserve"> footing</t>
    </r>
    <r>
      <rPr>
        <rFont val="Times New Roman"/>
        <color/>
        <sz val="11.0"/>
      </rPr>
      <t xml:space="preserve"> and </t>
    </r>
    <r>
      <rPr>
        <rFont val="Symbol"/>
        <color/>
        <sz val="11.0"/>
      </rPr>
      <t>f</t>
    </r>
    <r>
      <rPr>
        <rFont val="Times New Roman"/>
        <color/>
        <sz val="11.0"/>
      </rPr>
      <t>Pnb</t>
    </r>
    <r>
      <rPr>
        <rFont val="Times New Roman"/>
        <color/>
        <sz val="8.0"/>
      </rPr>
      <t xml:space="preserve"> column</t>
    </r>
  </si>
  <si>
    <r>
      <rPr>
        <rFont val="Noto Sans Symbols"/>
        <color/>
        <sz val="11.0"/>
      </rPr>
      <t>f</t>
    </r>
    <r>
      <rPr>
        <rFont val="Times New Roman"/>
        <color/>
        <sz val="11.0"/>
      </rPr>
      <t>P</t>
    </r>
    <r>
      <rPr>
        <rFont val="Times New Roman"/>
        <color/>
        <sz val="8.0"/>
      </rPr>
      <t xml:space="preserve">nb </t>
    </r>
    <r>
      <rPr>
        <rFont val="Times New Roman"/>
        <color/>
        <sz val="11.0"/>
      </rPr>
      <t>=</t>
    </r>
  </si>
  <si>
    <t>Determination of column dowels</t>
  </si>
  <si>
    <r>
      <rPr>
        <rFont val="Times New Roman"/>
        <color/>
        <sz val="11.0"/>
      </rPr>
      <t xml:space="preserve">As = ( Pu - </t>
    </r>
    <r>
      <rPr>
        <rFont val="Symbol"/>
        <color/>
        <sz val="11.0"/>
      </rPr>
      <t>f</t>
    </r>
    <r>
      <rPr>
        <rFont val="Times New Roman"/>
        <color/>
        <sz val="11.0"/>
      </rPr>
      <t xml:space="preserve">Pnb ) / </t>
    </r>
    <r>
      <rPr>
        <rFont val="Symbol"/>
        <color/>
        <sz val="11.0"/>
      </rPr>
      <t>f</t>
    </r>
    <r>
      <rPr>
        <rFont val="Times New Roman"/>
        <color/>
        <sz val="11.0"/>
      </rPr>
      <t xml:space="preserve"> fy =</t>
    </r>
  </si>
  <si>
    <t>15.8.1.2</t>
  </si>
  <si>
    <r>
      <rPr>
        <rFont val="Times New Roman"/>
        <color/>
        <sz val="11.0"/>
      </rPr>
      <t>As</t>
    </r>
    <r>
      <rPr>
        <rFont val="Times New Roman"/>
        <color/>
        <sz val="8.0"/>
      </rPr>
      <t>min</t>
    </r>
    <r>
      <rPr>
        <rFont val="Times New Roman"/>
        <color/>
        <sz val="11.0"/>
      </rPr>
      <t xml:space="preserve"> = 0.005 A</t>
    </r>
    <r>
      <rPr>
        <rFont val="Calibri"/>
        <color/>
        <sz val="11.0"/>
      </rPr>
      <t>₁</t>
    </r>
    <r>
      <rPr>
        <rFont val="Times New Roman"/>
        <color/>
        <sz val="11.0"/>
      </rPr>
      <t xml:space="preserve"> =</t>
    </r>
  </si>
  <si>
    <t>15.8.2.1</t>
  </si>
  <si>
    <r>
      <rPr>
        <rFont val="Times New Roman"/>
        <color/>
        <sz val="11.0"/>
      </rPr>
      <t xml:space="preserve">As </t>
    </r>
    <r>
      <rPr>
        <rFont val="Times New Roman"/>
        <color/>
        <sz val="9.0"/>
      </rPr>
      <t>req</t>
    </r>
    <r>
      <rPr>
        <rFont val="Times New Roman"/>
        <color/>
        <sz val="8.0"/>
      </rPr>
      <t>.</t>
    </r>
    <r>
      <rPr>
        <rFont val="Times New Roman"/>
        <color/>
        <sz val="11.0"/>
      </rPr>
      <t xml:space="preserve"> =</t>
    </r>
  </si>
  <si>
    <t>Kr =</t>
  </si>
  <si>
    <t>As required</t>
  </si>
  <si>
    <t>12.3.3 ( a )</t>
  </si>
  <si>
    <t>As provided</t>
  </si>
  <si>
    <t>Development of column dowels</t>
  </si>
  <si>
    <t>In footing</t>
  </si>
  <si>
    <r>
      <rPr>
        <rFont val="Times New Roman"/>
        <color/>
        <sz val="11.0"/>
      </rPr>
      <t>L</t>
    </r>
    <r>
      <rPr>
        <rFont val="Times New Roman"/>
        <color/>
        <sz val="9.0"/>
      </rPr>
      <t xml:space="preserve">dc </t>
    </r>
    <r>
      <rPr>
        <rFont val="Times New Roman"/>
        <color/>
        <sz val="11.0"/>
      </rPr>
      <t>= 0.24  fy / λ</t>
    </r>
  </si>
  <si>
    <r>
      <rPr>
        <rFont val="Times New Roman"/>
        <color/>
        <sz val="11.0"/>
      </rPr>
      <t>d</t>
    </r>
    <r>
      <rPr>
        <rFont val="Times New Roman"/>
        <color/>
        <sz val="8.0"/>
      </rPr>
      <t>b</t>
    </r>
    <r>
      <rPr>
        <rFont val="Times New Roman"/>
        <color/>
        <sz val="11.0"/>
      </rPr>
      <t xml:space="preserve"> =</t>
    </r>
  </si>
  <si>
    <t>12.3.2</t>
  </si>
  <si>
    <r>
      <rPr>
        <rFont val="Times New Roman"/>
        <color/>
        <sz val="11.0"/>
      </rPr>
      <t>L</t>
    </r>
    <r>
      <rPr>
        <rFont val="Times New Roman"/>
        <color/>
        <sz val="9.0"/>
      </rPr>
      <t xml:space="preserve">dc minmum  </t>
    </r>
    <r>
      <rPr>
        <rFont val="Times New Roman"/>
        <color/>
        <sz val="11.0"/>
      </rPr>
      <t>=  0.043 fy d</t>
    </r>
    <r>
      <rPr>
        <rFont val="Times New Roman"/>
        <color/>
        <sz val="8.0"/>
      </rPr>
      <t xml:space="preserve">b </t>
    </r>
    <r>
      <rPr>
        <rFont val="Times New Roman"/>
        <color/>
        <sz val="11.0"/>
      </rPr>
      <t>=</t>
    </r>
  </si>
  <si>
    <r>
      <rPr>
        <rFont val="Times New Roman"/>
        <color/>
        <sz val="11.0"/>
      </rPr>
      <t>L</t>
    </r>
    <r>
      <rPr>
        <rFont val="Times New Roman"/>
        <color/>
        <sz val="8.0"/>
      </rPr>
      <t xml:space="preserve"> req</t>
    </r>
    <r>
      <rPr>
        <rFont val="Times New Roman"/>
        <color/>
        <sz val="11.0"/>
      </rPr>
      <t xml:space="preserve"> = Kr L</t>
    </r>
    <r>
      <rPr>
        <rFont val="Times New Roman"/>
        <color/>
        <sz val="8.0"/>
      </rPr>
      <t xml:space="preserve">dc </t>
    </r>
    <r>
      <rPr>
        <rFont val="Times New Roman"/>
        <color/>
        <sz val="11.0"/>
      </rPr>
      <t>=</t>
    </r>
  </si>
  <si>
    <r>
      <rPr>
        <rFont val="Times New Roman"/>
        <color/>
        <sz val="11.0"/>
      </rPr>
      <t>L</t>
    </r>
    <r>
      <rPr>
        <rFont val="Times New Roman"/>
        <color/>
        <sz val="8.0"/>
      </rPr>
      <t xml:space="preserve">available </t>
    </r>
    <r>
      <rPr>
        <rFont val="Times New Roman"/>
        <color/>
        <sz val="11.0"/>
      </rPr>
      <t xml:space="preserve">= h - Cc - </t>
    </r>
    <r>
      <rPr>
        <rFont val="Times New Roman"/>
        <color/>
        <sz val="10.0"/>
      </rPr>
      <t>Ø</t>
    </r>
    <r>
      <rPr>
        <rFont val="Times New Roman"/>
        <color/>
        <sz val="6.0"/>
      </rPr>
      <t>L</t>
    </r>
    <r>
      <rPr>
        <rFont val="Times New Roman"/>
        <color/>
        <sz val="8.0"/>
      </rPr>
      <t xml:space="preserve"> </t>
    </r>
    <r>
      <rPr>
        <rFont val="Times New Roman"/>
        <color/>
        <sz val="11.0"/>
      </rPr>
      <t>- Ø</t>
    </r>
    <r>
      <rPr>
        <rFont val="Times New Roman"/>
        <color/>
        <sz val="6.0"/>
      </rPr>
      <t>S</t>
    </r>
    <r>
      <rPr>
        <rFont val="Times New Roman"/>
        <color/>
        <sz val="11.0"/>
      </rPr>
      <t xml:space="preserve"> - </t>
    </r>
    <r>
      <rPr>
        <rFont val="Times New Roman"/>
        <color/>
        <sz val="10.0"/>
      </rPr>
      <t>Ø</t>
    </r>
    <r>
      <rPr>
        <rFont val="Times New Roman"/>
        <color/>
        <sz val="8.0"/>
      </rPr>
      <t xml:space="preserve">dowel </t>
    </r>
    <r>
      <rPr>
        <rFont val="Times New Roman"/>
        <color/>
        <sz val="11.0"/>
      </rPr>
      <t>=</t>
    </r>
  </si>
  <si>
    <t>In column</t>
  </si>
  <si>
    <t>dowels compression splice</t>
  </si>
  <si>
    <r>
      <rPr>
        <rFont val="Times New Roman"/>
        <color/>
        <sz val="11.0"/>
      </rPr>
      <t>L</t>
    </r>
    <r>
      <rPr>
        <rFont val="Times New Roman"/>
        <color/>
        <sz val="9.0"/>
      </rPr>
      <t xml:space="preserve">s </t>
    </r>
    <r>
      <rPr>
        <rFont val="Times New Roman"/>
        <color/>
        <sz val="11.0"/>
      </rPr>
      <t>=  0.071 fy d</t>
    </r>
    <r>
      <rPr>
        <rFont val="Times New Roman"/>
        <color/>
        <sz val="8.0"/>
      </rPr>
      <t xml:space="preserve">b </t>
    </r>
    <r>
      <rPr>
        <rFont val="Times New Roman"/>
        <color/>
        <sz val="11.0"/>
      </rPr>
      <t>=</t>
    </r>
  </si>
  <si>
    <t>12.16.1</t>
  </si>
  <si>
    <r>
      <rPr>
        <rFont val="Times New Roman"/>
        <color/>
        <sz val="11.0"/>
      </rPr>
      <t>Ls</t>
    </r>
    <r>
      <rPr>
        <rFont val="Times New Roman"/>
        <color/>
        <sz val="9.0"/>
      </rPr>
      <t xml:space="preserve"> </t>
    </r>
    <r>
      <rPr>
        <rFont val="Times New Roman"/>
        <color/>
        <sz val="11.0"/>
      </rPr>
      <t>= (0.13 fy - 24 ) d</t>
    </r>
    <r>
      <rPr>
        <rFont val="Times New Roman"/>
        <color/>
        <sz val="8.0"/>
      </rPr>
      <t>b</t>
    </r>
    <r>
      <rPr>
        <rFont val="Times New Roman"/>
        <color/>
        <sz val="11.0"/>
      </rPr>
      <t xml:space="preserve"> =</t>
    </r>
  </si>
  <si>
    <t>Ls = 1.33Ls =</t>
  </si>
  <si>
    <t>column bars development</t>
  </si>
  <si>
    <r>
      <rPr>
        <rFont val="Times New Roman"/>
        <color/>
        <sz val="11.0"/>
      </rPr>
      <t>L</t>
    </r>
    <r>
      <rPr>
        <rFont val="Times New Roman"/>
        <color/>
        <sz val="9.0"/>
      </rPr>
      <t xml:space="preserve">dc </t>
    </r>
    <r>
      <rPr>
        <rFont val="Times New Roman"/>
        <color/>
        <sz val="11.0"/>
      </rPr>
      <t>= 0.24  fy / λ</t>
    </r>
  </si>
  <si>
    <r>
      <rPr>
        <rFont val="Times New Roman"/>
        <color/>
        <sz val="11.0"/>
      </rPr>
      <t>d</t>
    </r>
    <r>
      <rPr>
        <rFont val="Times New Roman"/>
        <color/>
        <sz val="8.0"/>
      </rPr>
      <t>b</t>
    </r>
    <r>
      <rPr>
        <rFont val="Times New Roman"/>
        <color/>
        <sz val="11.0"/>
      </rPr>
      <t xml:space="preserve"> =</t>
    </r>
  </si>
  <si>
    <r>
      <rPr>
        <rFont val="Times New Roman"/>
        <color/>
        <sz val="11.0"/>
      </rPr>
      <t>L</t>
    </r>
    <r>
      <rPr>
        <rFont val="Times New Roman"/>
        <color/>
        <sz val="9.0"/>
      </rPr>
      <t xml:space="preserve">dc minmum  </t>
    </r>
    <r>
      <rPr>
        <rFont val="Times New Roman"/>
        <color/>
        <sz val="11.0"/>
      </rPr>
      <t>=  0.043 fy d</t>
    </r>
    <r>
      <rPr>
        <rFont val="Times New Roman"/>
        <color/>
        <sz val="8.0"/>
      </rPr>
      <t xml:space="preserve">b </t>
    </r>
    <r>
      <rPr>
        <rFont val="Times New Roman"/>
        <color/>
        <sz val="11.0"/>
      </rPr>
      <t>=</t>
    </r>
  </si>
  <si>
    <r>
      <rPr>
        <rFont val="Times New Roman"/>
        <color/>
        <sz val="11.0"/>
      </rPr>
      <t xml:space="preserve">L </t>
    </r>
    <r>
      <rPr>
        <rFont val="Times New Roman"/>
        <color/>
        <sz val="8.0"/>
      </rPr>
      <t>req</t>
    </r>
    <r>
      <rPr>
        <rFont val="Times New Roman"/>
        <color/>
        <sz val="11.0"/>
      </rPr>
      <t xml:space="preserve"> = the larger of dowels splice and column bars development =</t>
    </r>
  </si>
  <si>
    <t>FINAL RESULTS</t>
  </si>
  <si>
    <r>
      <rPr>
        <rFont val="Times New Roman"/>
        <color/>
        <sz val="11.0"/>
      </rPr>
      <t xml:space="preserve">L </t>
    </r>
    <r>
      <rPr>
        <rFont val="Times New Roman"/>
        <color/>
        <sz val="9.0"/>
      </rPr>
      <t>(m)</t>
    </r>
  </si>
  <si>
    <r>
      <rPr>
        <rFont val="Times New Roman"/>
        <color/>
        <sz val="11.0"/>
      </rPr>
      <t xml:space="preserve">B </t>
    </r>
    <r>
      <rPr>
        <rFont val="Times New Roman"/>
        <color/>
        <sz val="9.0"/>
      </rPr>
      <t>(m)</t>
    </r>
  </si>
  <si>
    <r>
      <rPr>
        <rFont val="Times New Roman"/>
        <color/>
        <sz val="11.0"/>
      </rPr>
      <t xml:space="preserve">h </t>
    </r>
    <r>
      <rPr>
        <rFont val="Times New Roman"/>
        <color/>
        <sz val="9.0"/>
      </rPr>
      <t>(m)</t>
    </r>
  </si>
</sst>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0.00\ &quot; m&quot;"/>
    <numFmt numFmtId="165" formatCode="&quot;Ø&quot;0"/>
    <numFmt numFmtId="166" formatCode="[$-409]d\-mmm\-yyyy"/>
    <numFmt numFmtId="167" formatCode="&quot;Fcu footing =&quot;\ 0\ &quot;Mpa&quot;"/>
    <numFmt numFmtId="168" formatCode="&quot;D.L. =&quot;\ 0.00\ &quot;KN&quot;"/>
    <numFmt numFmtId="169" formatCode="&quot;qall =&quot;\ 0.0\ &quot;KN/m²&quot;"/>
    <numFmt numFmtId="170" formatCode="&quot;Fcu column =&quot;\ 0\ &quot;Mpa&quot;"/>
    <numFmt numFmtId="171" formatCode="&quot;L.L. =&quot;\ 0.00\ &quot;KN&quot;"/>
    <numFmt numFmtId="172" formatCode="&quot;γs =&quot;\ 0.0\ &quot;KN/m³&quot;"/>
    <numFmt numFmtId="173" formatCode="&quot;Fy =&quot;\ 0\ &quot;Mpa&quot;"/>
    <numFmt numFmtId="174" formatCode="&quot;a = &quot;\ 0.00\ &quot;m&quot;"/>
    <numFmt numFmtId="175" formatCode="&quot;Df =&quot;\ 0.00\ &quot;m&quot;"/>
    <numFmt numFmtId="176" formatCode="&quot;Cc =&quot;\ 0\ &quot;mm&quot;"/>
    <numFmt numFmtId="177" formatCode="&quot;b = &quot;\ 0.00\ &quot;m&quot;"/>
    <numFmt numFmtId="178" formatCode="&quot;h =&quot;\ 0\ &quot;mm&quot;"/>
    <numFmt numFmtId="179" formatCode="0.0\ &quot;KN&quot;"/>
    <numFmt numFmtId="180" formatCode="0.0\ &quot;KN/m³&quot;"/>
    <numFmt numFmtId="181" formatCode="0.0\ &quot;KN/m²&quot;"/>
    <numFmt numFmtId="182" formatCode="0.00\ &quot;m²&quot;"/>
    <numFmt numFmtId="183" formatCode="&quot;L = &quot;0.00&quot; m&quot;"/>
    <numFmt numFmtId="184" formatCode="&quot;B = &quot;0.00&quot; m&quot;"/>
    <numFmt numFmtId="185" formatCode="0\ &quot;mm&quot;"/>
    <numFmt numFmtId="186" formatCode="0.00\ &quot;m&quot;"/>
    <numFmt numFmtId="187" formatCode="&quot;αs  =&quot;\ 0"/>
    <numFmt numFmtId="188" formatCode="0.0\ &quot;KN.m.&quot;"/>
    <numFmt numFmtId="189" formatCode="0.0\ &quot; mm²&quot;"/>
    <numFmt numFmtId="190" formatCode="&quot;Use  &quot;0"/>
    <numFmt numFmtId="191" formatCode="0.0\ &quot; mm² )&quot;"/>
    <numFmt numFmtId="192" formatCode="&quot;Distribute &quot;0"/>
    <numFmt numFmtId="193" formatCode="0.0\ &quot;mm&quot;"/>
    <numFmt numFmtId="194" formatCode="0.0000"/>
    <numFmt numFmtId="195" formatCode="0.0\ &quot;mm²&quot;"/>
    <numFmt numFmtId="196" formatCode="0.0"/>
  </numFmts>
  <fonts count="18">
    <font>
      <sz val="11.0"/>
      <color/>
      <name val="Arial"/>
      <scheme val="minor"/>
    </font>
    <font>
      <sz val="11.0"/>
      <color/>
      <name val="Times New Roman"/>
    </font>
    <font>
      <sz val="11.0"/>
      <color/>
      <name val="Arial"/>
    </font>
    <font>
      <sz val="11.0"/>
      <name val="Times New Roman"/>
    </font>
    <font/>
    <font>
      <sz val="10.0"/>
      <name val="Times New Roman"/>
    </font>
    <font>
      <sz val="11.0"/>
      <color rgb="FFFF0000"/>
      <name val="Times New Roman"/>
    </font>
    <font>
      <b/>
      <sz val="11.0"/>
      <color rgb="FF3333FF"/>
      <name val="Arial"/>
    </font>
    <font>
      <sz val="11.0"/>
      <color rgb="FF3333FF"/>
      <name val="Times New Roman"/>
    </font>
    <font>
      <i/>
      <sz val="11.0"/>
      <color rgb="FF00B050"/>
      <name val="Times New Roman"/>
    </font>
    <font>
      <sz val="11.0"/>
      <color rgb="FF00B050"/>
      <name val="Times New Roman"/>
    </font>
    <font>
      <sz val="20.0"/>
      <color/>
      <name val="Times New Roman"/>
    </font>
    <font>
      <b/>
      <i/>
      <sz val="10.0"/>
      <color rgb="FF3333FF"/>
      <name val="Arial"/>
    </font>
    <font>
      <sz val="16.0"/>
      <color/>
      <name val="Times New Roman"/>
    </font>
    <font>
      <b/>
      <sz val="10.0"/>
      <color rgb="FF3333FF"/>
      <name val="Arial"/>
    </font>
    <font>
      <sz val="11.0"/>
      <color/>
      <name val="Noto Sans Symbols"/>
    </font>
    <font>
      <b/>
      <i/>
      <sz val="10.0"/>
      <name val="Arial Narrow"/>
    </font>
    <font>
      <i/>
      <sz val="10.0"/>
      <color rgb="FF3333FF"/>
      <name val="Arial"/>
    </font>
  </fonts>
  <fills count="6">
    <fill>
      <patternFill patternType="none"/>
    </fill>
    <fill>
      <patternFill patternType="lightGray"/>
    </fill>
    <fill>
      <patternFill patternType="solid">
        <fgColor rgb="FF0F243E"/>
        <bgColor rgb="FF0F243E"/>
      </patternFill>
    </fill>
    <fill>
      <patternFill patternType="solid">
        <fgColor rgb="FF262626"/>
        <bgColor rgb="FF262626"/>
      </patternFill>
    </fill>
    <fill>
      <patternFill patternType="solid">
        <fgColor rgb="FFFFFFFF"/>
        <bgColor rgb="FFFFFFFF"/>
      </patternFill>
    </fill>
    <fill>
      <patternFill patternType="solid">
        <fgColor rgb="FFF2F2F2"/>
        <bgColor rgb="FFF2F2F2"/>
      </patternFill>
    </fill>
  </fills>
  <borders count="45">
    <border/>
    <border>
      <left/>
      <right/>
      <top/>
      <bottom/>
    </border>
    <border>
      <left style="thick">
        <color rgb="FF800000"/>
      </left>
      <right/>
      <top style="thick">
        <color rgb="FF800000"/>
      </top>
      <bottom/>
    </border>
    <border>
      <left/>
      <right/>
      <top style="thick">
        <color rgb="FF800000"/>
      </top>
      <bottom/>
    </border>
    <border>
      <left/>
      <right style="thick">
        <color rgb="FF800000"/>
      </right>
      <top style="thick">
        <color rgb="FF800000"/>
      </top>
      <bottom/>
    </border>
    <border>
      <left style="thick">
        <color rgb="FF800000"/>
      </left>
      <right/>
      <top/>
      <bottom/>
    </border>
    <border>
      <left/>
      <right style="thick">
        <color rgb="FF800000"/>
      </right>
      <top/>
      <bottom/>
    </border>
    <border>
      <left style="thin">
        <color/>
      </left>
      <top style="thin">
        <color/>
      </top>
      <bottom style="medium">
        <color rgb="FF000000"/>
      </bottom>
    </border>
    <border>
      <top style="thin">
        <color/>
      </top>
      <bottom style="medium">
        <color rgb="FF000000"/>
      </bottom>
    </border>
    <border>
      <right style="medium">
        <color rgb="FF000000"/>
      </right>
      <top style="thin">
        <color/>
      </top>
      <bottom style="medium">
        <color rgb="FF000000"/>
      </bottom>
    </border>
    <border>
      <left style="double">
        <color rgb="FF000000"/>
      </left>
      <top style="double">
        <color rgb="FF000000"/>
      </top>
      <bottom style="thin">
        <color/>
      </bottom>
    </border>
    <border>
      <top style="double">
        <color rgb="FF000000"/>
      </top>
      <bottom style="thin">
        <color/>
      </bottom>
    </border>
    <border>
      <right style="thin">
        <color/>
      </right>
      <top style="double">
        <color rgb="FF000000"/>
      </top>
      <bottom style="thin">
        <color/>
      </bottom>
    </border>
    <border>
      <left style="medium">
        <color rgb="FF000000"/>
      </left>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right style="medium">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left>
      <top style="thin">
        <color/>
      </top>
      <bottom style="medium">
        <color/>
      </bottom>
    </border>
    <border>
      <top style="thin">
        <color/>
      </top>
      <bottom style="medium">
        <color/>
      </bottom>
    </border>
    <border>
      <right style="medium">
        <color/>
      </right>
      <top style="thin">
        <color/>
      </top>
      <bottom style="medium">
        <color/>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800000"/>
      </left>
      <right/>
      <top/>
      <bottom style="thick">
        <color rgb="FF800000"/>
      </bottom>
    </border>
    <border>
      <left/>
      <right/>
      <top/>
      <bottom style="thick">
        <color rgb="FF800000"/>
      </bottom>
    </border>
    <border>
      <left/>
      <right style="thick">
        <color rgb="FF800000"/>
      </right>
      <top/>
      <bottom style="thick">
        <color rgb="FF800000"/>
      </bottom>
    </border>
    <border>
      <left style="medium">
        <color rgb="FF000000"/>
      </left>
      <top style="medium">
        <color rgb="FF000000"/>
      </top>
    </border>
    <border>
      <top style="medium">
        <color rgb="FF000000"/>
      </top>
    </border>
    <border>
      <right style="medium">
        <color rgb="FF000000"/>
      </right>
      <top style="medium">
        <color rgb="FF000000"/>
      </top>
    </border>
    <border>
      <left/>
      <top/>
      <bottom/>
    </border>
    <border>
      <top/>
      <bottom/>
    </border>
    <border>
      <right/>
      <top/>
      <bottom/>
    </border>
    <border>
      <top style="thin">
        <color rgb="FF000000"/>
      </top>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1" fillId="2" fontId="1" numFmtId="0" xfId="0" applyAlignment="1" applyBorder="1" applyFill="1" applyFont="1">
      <alignment vertical="center"/>
    </xf>
    <xf borderId="0" fillId="0" fontId="2" numFmtId="0" xfId="0" applyAlignment="1" applyFont="1">
      <alignment shrinkToFit="0" vertical="center" wrapText="1"/>
    </xf>
    <xf borderId="0" fillId="0" fontId="1" numFmtId="0" xfId="0" applyAlignment="1" applyFont="1">
      <alignment horizontal="center" vertical="center"/>
    </xf>
    <xf borderId="2" fillId="3" fontId="1" numFmtId="0" xfId="0" applyAlignment="1" applyBorder="1" applyFill="1" applyFont="1">
      <alignment vertical="center"/>
    </xf>
    <xf borderId="3" fillId="3" fontId="1" numFmtId="0" xfId="0" applyAlignment="1" applyBorder="1" applyFont="1">
      <alignment vertical="center"/>
    </xf>
    <xf borderId="1" fillId="3" fontId="1" numFmtId="0" xfId="0" applyAlignment="1" applyBorder="1" applyFont="1">
      <alignment vertical="center"/>
    </xf>
    <xf borderId="1" fillId="3" fontId="1" numFmtId="0" xfId="0" applyAlignment="1" applyBorder="1" applyFont="1">
      <alignment horizontal="center" vertical="center"/>
    </xf>
    <xf borderId="4" fillId="3" fontId="1" numFmtId="0" xfId="0" applyAlignment="1" applyBorder="1" applyFont="1">
      <alignment vertical="center"/>
    </xf>
    <xf borderId="5" fillId="3" fontId="1" numFmtId="0" xfId="0" applyAlignment="1" applyBorder="1" applyFont="1">
      <alignment vertical="center"/>
    </xf>
    <xf borderId="6" fillId="3" fontId="1" numFmtId="0" xfId="0" applyAlignment="1" applyBorder="1" applyFont="1">
      <alignment vertical="center"/>
    </xf>
    <xf borderId="0" fillId="0" fontId="1" numFmtId="0" xfId="0" applyAlignment="1" applyFont="1">
      <alignment vertical="center"/>
    </xf>
    <xf borderId="7" fillId="0" fontId="3" numFmtId="0" xfId="0" applyAlignment="1" applyBorder="1" applyFont="1">
      <alignment horizontal="center" shrinkToFit="0" vertical="center" wrapText="1"/>
    </xf>
    <xf borderId="8" fillId="0" fontId="4" numFmtId="0" xfId="0" applyBorder="1" applyFont="1"/>
    <xf borderId="9" fillId="0" fontId="4" numFmtId="0" xfId="0" applyBorder="1" applyFont="1"/>
    <xf borderId="1" fillId="3" fontId="3" numFmtId="0" xfId="0" applyAlignment="1" applyBorder="1" applyFont="1">
      <alignment shrinkToFit="0" vertical="center" wrapText="1"/>
    </xf>
    <xf borderId="10" fillId="4" fontId="5" numFmtId="0" xfId="0" applyAlignment="1" applyBorder="1" applyFill="1" applyFont="1">
      <alignment horizontal="center" shrinkToFit="0" vertical="center" wrapText="1"/>
    </xf>
    <xf borderId="11" fillId="0" fontId="4" numFmtId="0" xfId="0" applyBorder="1" applyFont="1"/>
    <xf borderId="12" fillId="0" fontId="4" numFmtId="0" xfId="0" applyBorder="1" applyFont="1"/>
    <xf borderId="10" fillId="4" fontId="5" numFmtId="0" xfId="0" applyAlignment="1" applyBorder="1" applyFont="1">
      <alignment horizontal="center" readingOrder="0" shrinkToFit="0" vertical="center" wrapText="1"/>
    </xf>
    <xf borderId="13" fillId="0" fontId="1" numFmtId="0" xfId="0" applyAlignment="1" applyBorder="1" applyFont="1">
      <alignment vertical="center"/>
    </xf>
    <xf borderId="0" fillId="0" fontId="1" numFmtId="0" xfId="0" applyAlignment="1" applyFont="1">
      <alignment horizontal="left" vertical="center"/>
    </xf>
    <xf borderId="14" fillId="0" fontId="1" numFmtId="0" xfId="0" applyAlignment="1" applyBorder="1" applyFont="1">
      <alignment vertical="center"/>
    </xf>
    <xf borderId="1" fillId="3" fontId="5" numFmtId="0" xfId="0" applyAlignment="1" applyBorder="1" applyFont="1">
      <alignment shrinkToFit="0" vertical="center" wrapText="1"/>
    </xf>
    <xf borderId="15" fillId="0" fontId="1" numFmtId="0" xfId="0" applyAlignment="1" applyBorder="1" applyFont="1">
      <alignment horizontal="center" vertical="center"/>
    </xf>
    <xf borderId="16" fillId="0" fontId="4" numFmtId="0" xfId="0" applyBorder="1" applyFont="1"/>
    <xf borderId="15" fillId="0" fontId="1" numFmtId="0" xfId="0" applyAlignment="1" applyBorder="1" applyFont="1">
      <alignment horizontal="center"/>
    </xf>
    <xf borderId="17" fillId="0" fontId="4" numFmtId="0" xfId="0" applyBorder="1" applyFont="1"/>
    <xf borderId="18" fillId="0" fontId="1" numFmtId="0" xfId="0" applyAlignment="1" applyBorder="1" applyFont="1">
      <alignment horizontal="center" vertical="center"/>
    </xf>
    <xf borderId="19" fillId="0" fontId="4" numFmtId="0" xfId="0" applyBorder="1" applyFont="1"/>
    <xf borderId="20" fillId="0" fontId="4" numFmtId="0" xfId="0" applyBorder="1" applyFont="1"/>
    <xf borderId="21" fillId="0" fontId="1" numFmtId="0" xfId="0" applyAlignment="1" applyBorder="1" applyFont="1">
      <alignment horizontal="center" vertical="center"/>
    </xf>
    <xf borderId="13" fillId="0" fontId="1" numFmtId="0" xfId="0" applyAlignment="1" applyBorder="1" applyFont="1">
      <alignment horizontal="center" vertical="center"/>
    </xf>
    <xf borderId="22" fillId="0" fontId="4" numFmtId="0" xfId="0" applyBorder="1" applyFont="1"/>
    <xf borderId="23" fillId="0" fontId="4" numFmtId="0" xfId="0" applyBorder="1" applyFont="1"/>
    <xf borderId="24" fillId="0" fontId="1" numFmtId="164" xfId="0" applyAlignment="1" applyBorder="1" applyFont="1" applyNumberFormat="1">
      <alignment horizontal="center" vertical="center"/>
    </xf>
    <xf borderId="25" fillId="0" fontId="4" numFmtId="0" xfId="0" applyBorder="1" applyFont="1"/>
    <xf borderId="26" fillId="0" fontId="4" numFmtId="0" xfId="0" applyBorder="1" applyFont="1"/>
    <xf borderId="27" fillId="0" fontId="1" numFmtId="164" xfId="0" applyAlignment="1" applyBorder="1" applyFont="1" applyNumberFormat="1">
      <alignment horizontal="center" vertical="center"/>
    </xf>
    <xf borderId="24" fillId="0" fontId="1" numFmtId="1" xfId="0" applyAlignment="1" applyBorder="1" applyFont="1" applyNumberFormat="1">
      <alignment horizontal="right" vertical="center"/>
    </xf>
    <xf borderId="25" fillId="0" fontId="1" numFmtId="165" xfId="0" applyAlignment="1" applyBorder="1" applyFont="1" applyNumberFormat="1">
      <alignment horizontal="left" vertical="center"/>
    </xf>
    <xf borderId="27" fillId="0" fontId="1" numFmtId="1" xfId="0" applyAlignment="1" applyBorder="1" applyFont="1" applyNumberFormat="1">
      <alignment horizontal="right" vertical="center"/>
    </xf>
    <xf borderId="28" fillId="0" fontId="4" numFmtId="0" xfId="0" applyBorder="1" applyFont="1"/>
    <xf borderId="29" fillId="0" fontId="3" numFmtId="0" xfId="0" applyAlignment="1" applyBorder="1" applyFont="1">
      <alignment horizontal="center" shrinkToFit="0" vertical="center" wrapText="1"/>
    </xf>
    <xf borderId="30" fillId="0" fontId="4" numFmtId="0" xfId="0" applyBorder="1" applyFont="1"/>
    <xf borderId="31" fillId="0" fontId="4" numFmtId="0" xfId="0" applyBorder="1" applyFont="1"/>
    <xf borderId="0" fillId="0" fontId="6" numFmtId="0" xfId="0" applyAlignment="1" applyFont="1">
      <alignment vertical="center"/>
    </xf>
    <xf borderId="1" fillId="3" fontId="3" numFmtId="0" xfId="0" applyAlignment="1" applyBorder="1" applyFont="1">
      <alignment shrinkToFit="0" wrapText="1"/>
    </xf>
    <xf borderId="10" fillId="4" fontId="5" numFmtId="165" xfId="0" applyAlignment="1" applyBorder="1" applyFont="1" applyNumberFormat="1">
      <alignment horizontal="center" shrinkToFit="0" vertical="center" wrapText="1"/>
    </xf>
    <xf borderId="10" fillId="4" fontId="5" numFmtId="165" xfId="0" applyAlignment="1" applyBorder="1" applyFont="1" applyNumberFormat="1">
      <alignment horizontal="center" readingOrder="0" shrinkToFit="0" vertical="center" wrapText="1"/>
    </xf>
    <xf borderId="32" fillId="0" fontId="1" numFmtId="0" xfId="0" applyAlignment="1" applyBorder="1" applyFont="1">
      <alignment vertical="center"/>
    </xf>
    <xf borderId="33" fillId="0" fontId="1" numFmtId="0" xfId="0" applyAlignment="1" applyBorder="1" applyFont="1">
      <alignment vertical="center"/>
    </xf>
    <xf borderId="34" fillId="0" fontId="1" numFmtId="0" xfId="0" applyAlignment="1" applyBorder="1" applyFont="1">
      <alignment vertical="center"/>
    </xf>
    <xf borderId="35" fillId="3" fontId="1" numFmtId="0" xfId="0" applyAlignment="1" applyBorder="1" applyFont="1">
      <alignment vertical="center"/>
    </xf>
    <xf borderId="36" fillId="3" fontId="3" numFmtId="0" xfId="0" applyAlignment="1" applyBorder="1" applyFont="1">
      <alignment shrinkToFit="0" vertical="center" wrapText="1"/>
    </xf>
    <xf borderId="1" fillId="3" fontId="3" numFmtId="0" xfId="0" applyAlignment="1" applyBorder="1" applyFont="1">
      <alignment horizontal="center" shrinkToFit="0" vertical="center" wrapText="1"/>
    </xf>
    <xf borderId="37" fillId="3" fontId="1" numFmtId="0" xfId="0" applyAlignment="1" applyBorder="1" applyFont="1">
      <alignment vertical="center"/>
    </xf>
    <xf borderId="38" fillId="0" fontId="1" numFmtId="0" xfId="0" applyAlignment="1" applyBorder="1" applyFont="1">
      <alignment vertical="center"/>
    </xf>
    <xf borderId="39" fillId="0" fontId="1" numFmtId="0" xfId="0" applyAlignment="1" applyBorder="1" applyFont="1">
      <alignment vertical="center"/>
    </xf>
    <xf borderId="40" fillId="0" fontId="1" numFmtId="0" xfId="0" applyAlignment="1" applyBorder="1" applyFont="1">
      <alignment vertical="center"/>
    </xf>
    <xf borderId="41" fillId="5" fontId="1" numFmtId="0" xfId="0" applyAlignment="1" applyBorder="1" applyFill="1" applyFont="1">
      <alignment horizontal="left" vertical="center"/>
    </xf>
    <xf borderId="42" fillId="0" fontId="4" numFmtId="0" xfId="0" applyBorder="1" applyFont="1"/>
    <xf borderId="43" fillId="0" fontId="4" numFmtId="0" xfId="0" applyBorder="1" applyFont="1"/>
    <xf borderId="1" fillId="5" fontId="1" numFmtId="0" xfId="0" applyAlignment="1" applyBorder="1" applyFont="1">
      <alignment vertical="center"/>
    </xf>
    <xf borderId="41" fillId="5" fontId="1" numFmtId="166" xfId="0" applyAlignment="1" applyBorder="1" applyFont="1" applyNumberFormat="1">
      <alignment horizontal="center" vertical="center"/>
    </xf>
    <xf borderId="41" fillId="5" fontId="1"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vertical="center"/>
    </xf>
    <xf borderId="0" fillId="0" fontId="1" numFmtId="167" xfId="0" applyAlignment="1" applyFont="1" applyNumberFormat="1">
      <alignment horizontal="left" vertical="center"/>
    </xf>
    <xf borderId="0" fillId="0" fontId="1" numFmtId="168" xfId="0" applyAlignment="1" applyFont="1" applyNumberFormat="1">
      <alignment horizontal="left" vertical="center"/>
    </xf>
    <xf borderId="0" fillId="0" fontId="1" numFmtId="169" xfId="0" applyAlignment="1" applyFont="1" applyNumberFormat="1">
      <alignment horizontal="left" vertical="center"/>
    </xf>
    <xf borderId="0" fillId="0" fontId="1" numFmtId="170" xfId="0" applyAlignment="1" applyFont="1" applyNumberFormat="1">
      <alignment horizontal="left" vertical="center"/>
    </xf>
    <xf borderId="0" fillId="0" fontId="1" numFmtId="171" xfId="0" applyAlignment="1" applyFont="1" applyNumberFormat="1">
      <alignment horizontal="left" vertical="center"/>
    </xf>
    <xf borderId="0" fillId="0" fontId="1" numFmtId="172" xfId="0" applyAlignment="1" applyFont="1" applyNumberFormat="1">
      <alignment horizontal="left" vertical="center"/>
    </xf>
    <xf borderId="0" fillId="0" fontId="1" numFmtId="173" xfId="0" applyAlignment="1" applyFont="1" applyNumberFormat="1">
      <alignment horizontal="left" vertical="center"/>
    </xf>
    <xf borderId="0" fillId="0" fontId="1" numFmtId="174" xfId="0" applyAlignment="1" applyFont="1" applyNumberFormat="1">
      <alignment horizontal="left" vertical="center"/>
    </xf>
    <xf borderId="0" fillId="0" fontId="1" numFmtId="175" xfId="0" applyAlignment="1" applyFont="1" applyNumberFormat="1">
      <alignment horizontal="left" vertical="center"/>
    </xf>
    <xf borderId="0" fillId="0" fontId="1" numFmtId="176" xfId="0" applyAlignment="1" applyFont="1" applyNumberFormat="1">
      <alignment horizontal="left" vertical="center"/>
    </xf>
    <xf borderId="0" fillId="0" fontId="1" numFmtId="177" xfId="0" applyAlignment="1" applyFont="1" applyNumberFormat="1">
      <alignment horizontal="left" vertical="center"/>
    </xf>
    <xf borderId="0" fillId="0" fontId="1" numFmtId="178" xfId="0" applyAlignment="1" applyFont="1" applyNumberFormat="1">
      <alignment horizontal="left" vertical="center"/>
    </xf>
    <xf borderId="39" fillId="0" fontId="1" numFmtId="0" xfId="0" applyAlignment="1" applyBorder="1" applyFont="1">
      <alignment horizontal="left" vertical="center"/>
    </xf>
    <xf borderId="0" fillId="0" fontId="7" numFmtId="0" xfId="0" applyAlignment="1" applyFont="1">
      <alignment vertical="center"/>
    </xf>
    <xf borderId="0" fillId="0" fontId="8" numFmtId="0" xfId="0" applyAlignment="1" applyFont="1">
      <alignment vertical="center"/>
    </xf>
    <xf borderId="0" fillId="0" fontId="1" numFmtId="179" xfId="0" applyAlignment="1" applyFont="1" applyNumberFormat="1">
      <alignment horizontal="left" vertical="center"/>
    </xf>
    <xf borderId="14" fillId="0" fontId="1" numFmtId="0" xfId="0" applyAlignment="1" applyBorder="1" applyFont="1">
      <alignment horizontal="center" vertical="center"/>
    </xf>
    <xf borderId="0" fillId="0" fontId="1" numFmtId="180" xfId="0" applyAlignment="1" applyFont="1" applyNumberFormat="1">
      <alignment horizontal="left" vertical="center"/>
    </xf>
    <xf borderId="0" fillId="0" fontId="1" numFmtId="0" xfId="0" applyAlignment="1" applyFont="1">
      <alignment vertical="top"/>
    </xf>
    <xf borderId="0" fillId="0" fontId="1" numFmtId="181" xfId="0" applyAlignment="1" applyFont="1" applyNumberFormat="1">
      <alignment horizontal="left" vertical="center"/>
    </xf>
    <xf borderId="0" fillId="0" fontId="1" numFmtId="182" xfId="0" applyAlignment="1" applyFont="1" applyNumberFormat="1">
      <alignment horizontal="left" vertical="center"/>
    </xf>
    <xf borderId="0" fillId="0" fontId="9" numFmtId="0" xfId="0" applyAlignment="1" applyFont="1">
      <alignment horizontal="left" vertical="center"/>
    </xf>
    <xf borderId="0" fillId="0" fontId="1" numFmtId="0" xfId="0" applyAlignment="1" applyFont="1">
      <alignment horizontal="left" shrinkToFit="0" vertical="top" wrapText="1"/>
    </xf>
    <xf borderId="0" fillId="0" fontId="1" numFmtId="183" xfId="0" applyAlignment="1" applyFont="1" applyNumberFormat="1">
      <alignment horizontal="left" vertical="center"/>
    </xf>
    <xf borderId="0" fillId="0" fontId="1" numFmtId="184" xfId="0" applyAlignment="1" applyFont="1" applyNumberFormat="1">
      <alignment horizontal="left" vertical="center"/>
    </xf>
    <xf borderId="0" fillId="0" fontId="10" numFmtId="0" xfId="0" applyAlignment="1" applyFont="1">
      <alignment horizontal="center" vertical="center"/>
    </xf>
    <xf borderId="0" fillId="0" fontId="1" numFmtId="0" xfId="0" applyAlignment="1" applyFont="1">
      <alignment shrinkToFit="0" vertical="top" wrapText="1"/>
    </xf>
    <xf borderId="0" fillId="0" fontId="1" numFmtId="185" xfId="0" applyAlignment="1" applyFont="1" applyNumberFormat="1">
      <alignment horizontal="left" vertical="center"/>
    </xf>
    <xf borderId="0" fillId="0" fontId="1" numFmtId="186" xfId="0" applyAlignment="1" applyFont="1" applyNumberFormat="1">
      <alignment horizontal="left" vertical="center"/>
    </xf>
    <xf borderId="0" fillId="0" fontId="1" numFmtId="2" xfId="0" applyAlignment="1" applyFont="1" applyNumberFormat="1">
      <alignment horizontal="center" vertical="center"/>
    </xf>
    <xf borderId="0" fillId="0" fontId="1" numFmtId="187" xfId="0" applyAlignment="1" applyFont="1" applyNumberFormat="1">
      <alignment horizontal="left" vertical="center"/>
    </xf>
    <xf borderId="0" fillId="0" fontId="1" numFmtId="2" xfId="0" applyAlignment="1" applyFont="1" applyNumberFormat="1">
      <alignment horizontal="left" vertical="center"/>
    </xf>
    <xf borderId="19" fillId="0" fontId="1" numFmtId="0" xfId="0" applyAlignment="1" applyBorder="1" applyFont="1">
      <alignment horizontal="center" vertical="center"/>
    </xf>
    <xf borderId="0" fillId="0" fontId="11" numFmtId="0" xfId="0" applyAlignment="1" applyFont="1">
      <alignment horizontal="center" vertical="center"/>
    </xf>
    <xf quotePrefix="1" borderId="0" fillId="0" fontId="1" numFmtId="0" xfId="0" applyAlignment="1" applyFont="1">
      <alignment horizontal="center" vertical="center"/>
    </xf>
    <xf borderId="0" fillId="0" fontId="12" numFmtId="0" xfId="0" applyAlignment="1" applyFont="1">
      <alignment vertical="center"/>
    </xf>
    <xf borderId="0" fillId="0" fontId="1" numFmtId="188" xfId="0" applyAlignment="1" applyFont="1" applyNumberFormat="1">
      <alignment horizontal="left" vertical="center"/>
    </xf>
    <xf borderId="0" fillId="0" fontId="1" numFmtId="189" xfId="0" applyAlignment="1" applyFont="1" applyNumberFormat="1">
      <alignment horizontal="left" vertical="center"/>
    </xf>
    <xf borderId="0" fillId="0" fontId="1" numFmtId="190" xfId="0" applyAlignment="1" applyFont="1" applyNumberFormat="1">
      <alignment horizontal="right" vertical="center"/>
    </xf>
    <xf borderId="0" fillId="0" fontId="1" numFmtId="165" xfId="0" applyAlignment="1" applyFont="1" applyNumberFormat="1">
      <alignment horizontal="left" vertical="center"/>
    </xf>
    <xf borderId="0" fillId="0" fontId="1" numFmtId="191" xfId="0" applyAlignment="1" applyFont="1" applyNumberFormat="1">
      <alignment horizontal="left" vertical="center"/>
    </xf>
    <xf borderId="0" fillId="0" fontId="1" numFmtId="190" xfId="0" applyAlignment="1" applyFont="1" applyNumberFormat="1">
      <alignment horizontal="left" vertical="center"/>
    </xf>
    <xf borderId="0" fillId="0" fontId="1" numFmtId="185" xfId="0" applyAlignment="1" applyFont="1" applyNumberFormat="1">
      <alignment vertical="center"/>
    </xf>
    <xf borderId="0" fillId="0" fontId="1" numFmtId="192" xfId="0" applyAlignment="1" applyFont="1" applyNumberFormat="1">
      <alignment horizontal="right" vertical="center"/>
    </xf>
    <xf borderId="0" fillId="0" fontId="13" numFmtId="0" xfId="0" applyAlignment="1" applyFont="1">
      <alignment horizontal="center" vertical="center"/>
    </xf>
    <xf borderId="0" fillId="0" fontId="1" numFmtId="193" xfId="0" applyAlignment="1" applyFont="1" applyNumberFormat="1">
      <alignment horizontal="left" vertical="center"/>
    </xf>
    <xf borderId="0" fillId="0" fontId="9" numFmtId="0" xfId="0" applyAlignment="1" applyFont="1">
      <alignment horizontal="left" vertical="top"/>
    </xf>
    <xf borderId="0" fillId="0" fontId="9" numFmtId="0" xfId="0" applyAlignment="1" applyFont="1">
      <alignment vertical="top"/>
    </xf>
    <xf borderId="0" fillId="0" fontId="1" numFmtId="0" xfId="0" applyAlignment="1" applyFont="1">
      <alignment horizontal="center" shrinkToFit="1" vertical="center" wrapText="0"/>
    </xf>
    <xf borderId="0" fillId="0" fontId="1" numFmtId="193" xfId="0" applyAlignment="1" applyFont="1" applyNumberFormat="1">
      <alignment horizontal="center" vertical="center"/>
    </xf>
    <xf borderId="0" fillId="0" fontId="1" numFmtId="194" xfId="0" applyAlignment="1" applyFont="1" applyNumberFormat="1">
      <alignment horizontal="left" vertical="center"/>
    </xf>
    <xf borderId="44" fillId="0" fontId="1" numFmtId="0" xfId="0" applyAlignment="1" applyBorder="1" applyFont="1">
      <alignment horizontal="center" vertical="center"/>
    </xf>
    <xf borderId="44" fillId="0" fontId="4" numFmtId="0" xfId="0" applyBorder="1" applyFont="1"/>
    <xf borderId="0" fillId="0" fontId="14" numFmtId="0" xfId="0" applyAlignment="1" applyFont="1">
      <alignment vertical="center"/>
    </xf>
    <xf borderId="0" fillId="0" fontId="9" numFmtId="0" xfId="0" applyAlignment="1" applyFont="1">
      <alignment vertical="center"/>
    </xf>
    <xf borderId="0" fillId="0" fontId="15" numFmtId="0" xfId="0" applyAlignment="1" applyFont="1">
      <alignment vertical="center"/>
    </xf>
    <xf borderId="0" fillId="0" fontId="1" numFmtId="195" xfId="0" applyAlignment="1" applyFont="1" applyNumberFormat="1">
      <alignment horizontal="left" vertical="center"/>
    </xf>
    <xf borderId="0" fillId="0" fontId="1" numFmtId="196" xfId="0" applyAlignment="1" applyFont="1" applyNumberFormat="1">
      <alignment horizontal="left" vertical="center"/>
    </xf>
    <xf borderId="0" fillId="0" fontId="1" numFmtId="0" xfId="0" applyAlignment="1" applyFont="1">
      <alignment horizontal="center" vertical="center"/>
    </xf>
    <xf borderId="0" fillId="0" fontId="12" numFmtId="0" xfId="0" applyAlignment="1" applyFont="1">
      <alignment horizontal="left" vertical="center"/>
    </xf>
    <xf borderId="0" fillId="0" fontId="1" numFmtId="0" xfId="0" applyAlignment="1" applyFont="1">
      <alignment horizontal="right" vertical="center"/>
    </xf>
    <xf borderId="0" fillId="0" fontId="16" numFmtId="0" xfId="0" applyAlignment="1" applyFont="1">
      <alignment horizontal="left" vertical="center"/>
    </xf>
    <xf borderId="0" fillId="0" fontId="1" numFmtId="193" xfId="0" applyAlignment="1" applyFont="1" applyNumberFormat="1">
      <alignment vertical="center"/>
    </xf>
    <xf borderId="0" fillId="0" fontId="1" numFmtId="0" xfId="0" applyAlignment="1" applyFont="1">
      <alignment shrinkToFit="0" wrapText="1"/>
    </xf>
    <xf borderId="0" fillId="0" fontId="17" numFmtId="0" xfId="0" applyAlignment="1" applyFont="1">
      <alignment horizontal="left" vertical="center"/>
    </xf>
  </cellXfs>
  <cellStyles count="1">
    <cellStyle xfId="0" name="Normal" builtinId="0"/>
  </cellStyles>
  <dxfs count="1">
    <dxf>
      <font>
        <color/>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hyperlink" Target="#Sheet1!A52"/></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19050</xdr:colOff>
      <xdr:row>8</xdr:row>
      <xdr:rowOff>47625</xdr:rowOff>
    </xdr:from>
    <xdr:ext cx="1362075" cy="295275"/>
    <xdr:sp macro="" textlink="">
      <xdr:nvSpPr>
        <xdr:cNvPr id="2" name="Oval 1">
          <a:extLst>
            <a:ext uri="{FF2B5EF4-FFF2-40B4-BE49-F238E27FC236}"/>
          </a:extLst>
        </xdr:cNvPr>
        <xdr:cNvSpPr/>
      </xdr:nvSpPr>
      <xdr:spPr>
        <a:xfrm>
          <a:off x="3819525" y="1571625"/>
          <a:ext cx="1590674" cy="323850"/>
        </a:xfrm>
        <a:prstGeom prst="ellipse">
          <a:avLst/>
        </a:prstGeom>
        <a:solidFill>
          <a:schemeClr val="accent2">
            <a:lumMod val="50000"/>
          </a:schemeClr>
        </a:solidFill>
      </xdr:spPr>
      <xdr:style>
        <a:lnRef idx="0">
          <a:schemeClr val="dk1"/>
        </a:lnRef>
        <a:fillRef idx="3">
          <a:schemeClr val="dk1"/>
        </a:fillRef>
        <a:effectRef idx="3">
          <a:schemeClr val="dk1"/>
        </a:effectRef>
        <a:fontRef idx="minor">
          <a:schemeClr val="lt1"/>
        </a:fontRef>
      </xdr:style>
      <xdr:txBody>
        <a:bodyPr anchor="ctr" rtlCol="0" numCol="1">
          <a:prstTxWarp prst="textStop">
            <a:avLst/>
          </a:prstTxWarp>
          <a:scene3d>
            <a:camera prst="orthographicFront"/>
            <a:lightRig dir="t" rig="soft">
              <a:rot lat="0" lon="0" rev="10800000"/>
            </a:lightRig>
          </a:scene3d>
          <a:sp3d>
            <a:bevelT h="12700" w="27940"/>
            <a:contourClr>
              <a:srgbClr val="DDDDDD"/>
            </a:contourClr>
          </a:sp3d>
        </a:bodyPr>
        <a:lstStyle/>
        <a:p>
          <a:pPr indent="0" lvl="0" marL="0" algn="ctr"/>
          <a:r>
            <a:rPr b="1" lang="en-US" spc="150" sz="1100" cap="none">
              <a:ln w="11430"/>
              <a:solidFill>
                <a:srgbClr val="F8F8F8"/>
              </a:solidFill>
              <a:effectLst>
                <a:outerShdw blurRad="25400" rotWithShape="0" algn="tl">
                  <a:srgbClr val="000000">
                    <a:alpha val="43000"/>
                  </a:srgbClr>
                </a:outerShdw>
              </a:effectLst>
              <a:latin typeface="+mn-lt"/>
              <a:ea typeface="+mn-ea"/>
              <a:cs typeface="+mn-cs"/>
            </a:rPr>
            <a:t>   INPUT</a:t>
          </a:r>
          <a:r>
            <a:rPr b="1" lang="en-US" spc="150" sz="1100" cap="none">
              <a:ln w="11430"/>
              <a:solidFill>
                <a:srgbClr val="F8F8F8"/>
              </a:solidFill>
              <a:effectLst>
                <a:outerShdw blurRad="25400" rotWithShape="0" algn="tl">
                  <a:srgbClr val="000000">
                    <a:alpha val="43000"/>
                  </a:srgbClr>
                </a:outerShdw>
              </a:effectLst>
              <a:latin typeface="+mn-lt"/>
              <a:ea typeface="+mn-ea"/>
              <a:cs typeface="+mn-cs"/>
            </a:rPr>
            <a:t>  </a:t>
          </a:r>
          <a:endParaRPr b="1" lang="en-US" spc="150" sz="1100" cap="none">
            <a:ln w="11430"/>
            <a:solidFill>
              <a:srgbClr val="F8F8F8"/>
            </a:solidFill>
            <a:effectLst>
              <a:outerShdw blurRad="25400" rotWithShape="0" algn="tl">
                <a:srgbClr val="000000">
                  <a:alpha val="43000"/>
                </a:srgbClr>
              </a:outerShdw>
            </a:effectLst>
            <a:latin typeface="+mn-lt"/>
            <a:ea typeface="+mn-ea"/>
            <a:cs typeface="+mn-cs"/>
          </a:endParaRPr>
        </a:p>
      </xdr:txBody>
    </xdr:sp>
    <xdr:clientData fLocksWithSheet="0"/>
  </xdr:oneCellAnchor>
  <xdr:oneCellAnchor>
    <xdr:from>
      <xdr:col>6</xdr:col>
      <xdr:colOff>9525</xdr:colOff>
      <xdr:row>1</xdr:row>
      <xdr:rowOff>180975</xdr:rowOff>
    </xdr:from>
    <xdr:ext cx="6315075" cy="866775"/>
    <xdr:sp macro="" textlink="">
      <xdr:nvSpPr>
        <xdr:cNvPr id="3" name="Bevel 2">
          <a:extLst>
            <a:ext uri="{FF2B5EF4-FFF2-40B4-BE49-F238E27FC236}"/>
          </a:extLst>
        </xdr:cNvPr>
        <xdr:cNvSpPr/>
      </xdr:nvSpPr>
      <xdr:spPr>
        <a:xfrm>
          <a:off x="866775" y="361951"/>
          <a:ext cx="8886825" cy="923924"/>
        </a:xfrm>
        <a:prstGeom prst="bevel">
          <a:avLst/>
        </a:prstGeom>
        <a:blipFill rotWithShape="1">
          <a:blip r:embed="rId1">
            <a:alphaModFix amt="51000"/>
          </a:blip>
          <a:srcRect/>
          <a:tile algn="tl" flip="none" tx="0" sx="100000" ty="0" sy="100000"/>
        </a:blipFill>
        <a:ln w="12700">
          <a:solidFill>
            <a:schemeClr val="tx1">
              <a:lumMod val="75000"/>
              <a:lumOff val="25000"/>
            </a:schemeClr>
          </a:solidFill>
          <a:prstDash val="solid"/>
        </a:ln>
        <a:effectLst>
          <a:outerShdw blurRad="40000" rotWithShape="0" dir="5400000" dist="23000">
            <a:srgbClr val="000000">
              <a:alpha val="35000"/>
            </a:srgbClr>
          </a:outerShdw>
        </a:effectLst>
      </xdr:spPr>
      <xdr:style>
        <a:lnRef idx="1">
          <a:schemeClr val="dk1"/>
        </a:lnRef>
        <a:fillRef idx="3">
          <a:schemeClr val="dk1"/>
        </a:fillRef>
        <a:effectRef idx="2">
          <a:schemeClr val="dk1"/>
        </a:effectRef>
        <a:fontRef idx="minor">
          <a:schemeClr val="lt1"/>
        </a:fontRef>
      </xdr:style>
      <xdr:txBody>
        <a:bodyPr anchor="ctr" rtlCol="0">
          <a:scene3d>
            <a:camera prst="orthographicFront"/>
            <a:lightRig dir="t" rig="balanced">
              <a:rot lat="0" lon="0" rev="2100000"/>
            </a:lightRig>
          </a:scene3d>
          <a:sp3d extrusionH="57150" prstMaterial="metal">
            <a:bevelT h="25400" w="38100"/>
            <a:contourClr>
              <a:schemeClr val="bg2"/>
            </a:contourClr>
          </a:sp3d>
        </a:bodyPr>
        <a:lstStyle/>
        <a:p>
          <a:pPr indent="0" lvl="0" marL="0" algn="ctr"/>
          <a:endParaRPr b="1" lang="en-US" spc="0" sz="1400" cap="none">
            <a:ln w="50800"/>
            <a:solidFill>
              <a:schemeClr val="bg1">
                <a:shade val="50000"/>
              </a:schemeClr>
            </a:solidFill>
            <a:effectLst/>
            <a:latin typeface="+mn-lt"/>
            <a:ea typeface="+mn-ea"/>
            <a:cs typeface="+mn-cs"/>
          </a:endParaRPr>
        </a:p>
        <a:p>
          <a:pPr indent="0" lvl="0" marL="0" algn="ctr"/>
          <a:r>
            <a:rPr b="1" lang="en-US" spc="0" sz="1400" cap="none">
              <a:ln w="50800"/>
              <a:solidFill>
                <a:schemeClr val="bg1">
                  <a:shade val="50000"/>
                </a:schemeClr>
              </a:solidFill>
              <a:effectLst/>
              <a:latin typeface="+mn-lt"/>
              <a:ea typeface="+mn-ea"/>
              <a:cs typeface="+mn-cs"/>
            </a:rPr>
            <a:t>DESIGN  OF  ISOLATED FOOTING</a:t>
          </a:r>
        </a:p>
        <a:p>
          <a:pPr lvl="0" algn="ctr"/>
          <a:r>
            <a:rPr b="1" lang="en-US" spc="0" sz="1400" cap="none">
              <a:ln w="50800"/>
              <a:solidFill>
                <a:schemeClr val="bg1">
                  <a:shade val="50000"/>
                </a:schemeClr>
              </a:solidFill>
              <a:effectLst/>
              <a:latin typeface="+mn-lt"/>
              <a:ea typeface="+mn-ea"/>
              <a:cs typeface="+mn-cs"/>
            </a:rPr>
            <a:t>SUBJECTED TO CONCENTRIC  LOAD</a:t>
          </a:r>
        </a:p>
        <a:p>
          <a:pPr lvl="0" algn="ctr"/>
          <a:r>
            <a:rPr b="1" lang="en-US" spc="0" sz="1400" cap="none">
              <a:ln w="50800"/>
              <a:solidFill>
                <a:schemeClr val="bg1">
                  <a:shade val="50000"/>
                </a:schemeClr>
              </a:solidFill>
              <a:effectLst/>
              <a:latin typeface="+mn-lt"/>
              <a:ea typeface="+mn-ea"/>
              <a:cs typeface="+mn-cs"/>
            </a:rPr>
            <a:t>RECTANGULAR FOOTING</a:t>
          </a:r>
        </a:p>
        <a:p>
          <a:pPr indent="0" lvl="0" marL="0" algn="ctr"/>
          <a:endParaRPr b="1" lang="en-US" spc="0" sz="1400" cap="none">
            <a:ln w="50800"/>
            <a:solidFill>
              <a:schemeClr val="bg1">
                <a:shade val="50000"/>
              </a:schemeClr>
            </a:solidFill>
            <a:effectLst/>
            <a:latin typeface="+mn-lt"/>
            <a:ea typeface="+mn-ea"/>
            <a:cs typeface="+mn-cs"/>
          </a:endParaRPr>
        </a:p>
      </xdr:txBody>
    </xdr:sp>
    <xdr:clientData fLocksWithSheet="0"/>
  </xdr:oneCellAnchor>
  <xdr:oneCellAnchor>
    <xdr:from>
      <xdr:col>19</xdr:col>
      <xdr:colOff>9525</xdr:colOff>
      <xdr:row>22</xdr:row>
      <xdr:rowOff>47625</xdr:rowOff>
    </xdr:from>
    <xdr:ext cx="1381125" cy="295275"/>
    <xdr:sp macro="" textlink="">
      <xdr:nvSpPr>
        <xdr:cNvPr id="5" name="Oval 4">
          <a:hlinkClick r:id="rId2" tooltip="DESIGN"/>
          <a:extLst>
            <a:ext uri="{FF2B5EF4-FFF2-40B4-BE49-F238E27FC236}"/>
          </a:extLst>
        </xdr:cNvPr>
        <xdr:cNvSpPr/>
      </xdr:nvSpPr>
      <xdr:spPr>
        <a:xfrm>
          <a:off x="3810000" y="4400550"/>
          <a:ext cx="1590674" cy="323850"/>
        </a:xfrm>
        <a:prstGeom prst="ellipse">
          <a:avLst/>
        </a:prstGeom>
        <a:solidFill>
          <a:schemeClr val="accent2">
            <a:lumMod val="50000"/>
          </a:schemeClr>
        </a:solidFill>
      </xdr:spPr>
      <xdr:style>
        <a:lnRef idx="0">
          <a:schemeClr val="dk1"/>
        </a:lnRef>
        <a:fillRef idx="3">
          <a:schemeClr val="dk1"/>
        </a:fillRef>
        <a:effectRef idx="3">
          <a:schemeClr val="dk1"/>
        </a:effectRef>
        <a:fontRef idx="minor">
          <a:schemeClr val="lt1"/>
        </a:fontRef>
      </xdr:style>
      <xdr:txBody>
        <a:bodyPr anchor="ctr" rtlCol="0" numCol="1">
          <a:prstTxWarp prst="textStop">
            <a:avLst/>
          </a:prstTxWarp>
          <a:scene3d>
            <a:camera prst="orthographicFront"/>
            <a:lightRig dir="t" rig="soft">
              <a:rot lat="0" lon="0" rev="10800000"/>
            </a:lightRig>
          </a:scene3d>
          <a:sp3d>
            <a:bevelT h="12700" w="27940"/>
            <a:contourClr>
              <a:srgbClr val="DDDDDD"/>
            </a:contourClr>
          </a:sp3d>
        </a:bodyPr>
        <a:lstStyle/>
        <a:p>
          <a:pPr indent="0" lvl="0" marL="0" algn="ctr"/>
          <a:r>
            <a:rPr b="1" lang="en-US" spc="150" sz="1100" cap="none">
              <a:ln w="11430"/>
              <a:solidFill>
                <a:srgbClr val="F8F8F8"/>
              </a:solidFill>
              <a:effectLst>
                <a:outerShdw blurRad="25400" rotWithShape="0" algn="tl">
                  <a:srgbClr val="000000">
                    <a:alpha val="43000"/>
                  </a:srgbClr>
                </a:outerShdw>
              </a:effectLst>
              <a:latin typeface="+mn-lt"/>
              <a:ea typeface="+mn-ea"/>
              <a:cs typeface="+mn-cs"/>
            </a:rPr>
            <a:t>   DESIGN</a:t>
          </a:r>
          <a:r>
            <a:rPr b="1" lang="en-US" spc="150" sz="1100" cap="none">
              <a:ln w="11430"/>
              <a:solidFill>
                <a:srgbClr val="F8F8F8"/>
              </a:solidFill>
              <a:effectLst>
                <a:outerShdw blurRad="25400" rotWithShape="0" algn="tl">
                  <a:srgbClr val="000000">
                    <a:alpha val="43000"/>
                  </a:srgbClr>
                </a:outerShdw>
              </a:effectLst>
              <a:latin typeface="+mn-lt"/>
              <a:ea typeface="+mn-ea"/>
              <a:cs typeface="+mn-cs"/>
            </a:rPr>
            <a:t>  </a:t>
          </a:r>
          <a:endParaRPr b="1" lang="en-US" spc="150" sz="1100" cap="none">
            <a:ln w="11430"/>
            <a:solidFill>
              <a:srgbClr val="F8F8F8"/>
            </a:solidFill>
            <a:effectLst>
              <a:outerShdw blurRad="25400" rotWithShape="0" algn="tl">
                <a:srgbClr val="000000">
                  <a:alpha val="43000"/>
                </a:srgbClr>
              </a:outerShdw>
            </a:effectLst>
            <a:latin typeface="+mn-lt"/>
            <a:ea typeface="+mn-ea"/>
            <a:cs typeface="+mn-cs"/>
          </a:endParaRPr>
        </a:p>
      </xdr:txBody>
    </xdr:sp>
    <xdr:clientData fLocksWithSheet="0"/>
  </xdr:oneCellAnchor>
  <xdr:oneCellAnchor>
    <xdr:from>
      <xdr:col>42</xdr:col>
      <xdr:colOff>38100</xdr:colOff>
      <xdr:row>44</xdr:row>
      <xdr:rowOff>95250</xdr:rowOff>
    </xdr:from>
    <xdr:ext cx="4286250" cy="1076325"/>
    <xdr:sp macro="" textlink="">
      <xdr:nvSpPr>
        <xdr:cNvPr id="6" name="Rounded Rectangle 5">
          <a:extLst>
            <a:ext uri="{FF2B5EF4-FFF2-40B4-BE49-F238E27FC236}"/>
          </a:extLst>
        </xdr:cNvPr>
        <xdr:cNvSpPr/>
      </xdr:nvSpPr>
      <xdr:spPr>
        <a:xfrm>
          <a:off x="8439150" y="8429625"/>
          <a:ext cx="3476625" cy="10763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Base area of footing or number and arrangement of piles shall be determined from unfactored forces and moments transmitted by footing to soil or piles and permissible soil pressure or permissible pile capacity determined through principles of soil mechanics.</a:t>
          </a:r>
          <a:endParaRPr lang="ar-EG" sz="1100"/>
        </a:p>
      </xdr:txBody>
    </xdr:sp>
    <xdr:clientData fLocksWithSheet="0"/>
  </xdr:oneCellAnchor>
  <xdr:oneCellAnchor>
    <xdr:from>
      <xdr:col>38</xdr:col>
      <xdr:colOff>133350</xdr:colOff>
      <xdr:row>44</xdr:row>
      <xdr:rowOff>95250</xdr:rowOff>
    </xdr:from>
    <xdr:ext cx="561975" cy="228600"/>
    <xdr:sp macro="" textlink="">
      <xdr:nvSpPr>
        <xdr:cNvPr id="7" name="Rounded Rectangle 6">
          <a:extLst>
            <a:ext uri="{FF2B5EF4-FFF2-40B4-BE49-F238E27FC236}"/>
          </a:extLst>
        </xdr:cNvPr>
        <xdr:cNvSpPr/>
      </xdr:nvSpPr>
      <xdr:spPr>
        <a:xfrm>
          <a:off x="7734300" y="84296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15.2.2</a:t>
          </a:r>
          <a:endParaRPr i="0" lang="ar-EG" sz="1100">
            <a:latin typeface="Arial Narrow" pitchFamily="34" charset="0"/>
            <a:cs typeface="+mj-cs"/>
          </a:endParaRPr>
        </a:p>
      </xdr:txBody>
    </xdr:sp>
    <xdr:clientData fLocksWithSheet="0"/>
  </xdr:oneCellAnchor>
  <xdr:oneCellAnchor>
    <xdr:from>
      <xdr:col>42</xdr:col>
      <xdr:colOff>38100</xdr:colOff>
      <xdr:row>52</xdr:row>
      <xdr:rowOff>161925</xdr:rowOff>
    </xdr:from>
    <xdr:ext cx="4286250" cy="885825"/>
    <xdr:sp macro="" textlink="">
      <xdr:nvSpPr>
        <xdr:cNvPr id="8" name="Rounded Rectangle 7">
          <a:extLst>
            <a:ext uri="{FF2B5EF4-FFF2-40B4-BE49-F238E27FC236}"/>
          </a:extLst>
        </xdr:cNvPr>
        <xdr:cNvSpPr/>
      </xdr:nvSpPr>
      <xdr:spPr>
        <a:xfrm>
          <a:off x="8439150" y="9810750"/>
          <a:ext cx="3476625" cy="8858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t" rtlCol="1"/>
        <a:lstStyle/>
        <a:p>
          <a:pPr lvl="0" algn="l"/>
          <a:r>
            <a:rPr lang="en-US" sz="1100"/>
            <a:t>Footings shall be proportioned to resist the factored loads and induced reactions, in accordance with the appropriate design requirements of this code and as provided in Chapter 15.</a:t>
          </a:r>
          <a:endParaRPr lang="ar-EG" sz="1100"/>
        </a:p>
      </xdr:txBody>
    </xdr:sp>
    <xdr:clientData fLocksWithSheet="0"/>
  </xdr:oneCellAnchor>
  <xdr:oneCellAnchor>
    <xdr:from>
      <xdr:col>38</xdr:col>
      <xdr:colOff>133350</xdr:colOff>
      <xdr:row>52</xdr:row>
      <xdr:rowOff>161925</xdr:rowOff>
    </xdr:from>
    <xdr:ext cx="561975" cy="228600"/>
    <xdr:sp macro="" textlink="">
      <xdr:nvSpPr>
        <xdr:cNvPr id="9" name="Rounded Rectangle 8">
          <a:extLst>
            <a:ext uri="{FF2B5EF4-FFF2-40B4-BE49-F238E27FC236}"/>
          </a:extLst>
        </xdr:cNvPr>
        <xdr:cNvSpPr/>
      </xdr:nvSpPr>
      <xdr:spPr>
        <a:xfrm>
          <a:off x="7734300" y="9810750"/>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15.2.1</a:t>
          </a:r>
          <a:endParaRPr i="0" lang="ar-EG" sz="1100">
            <a:latin typeface="Arial Narrow" pitchFamily="34" charset="0"/>
            <a:cs typeface="+mj-cs"/>
          </a:endParaRPr>
        </a:p>
      </xdr:txBody>
    </xdr:sp>
    <xdr:clientData fLocksWithSheet="0"/>
  </xdr:oneCellAnchor>
  <xdr:oneCellAnchor>
    <xdr:from>
      <xdr:col>42</xdr:col>
      <xdr:colOff>38100</xdr:colOff>
      <xdr:row>79</xdr:row>
      <xdr:rowOff>38100</xdr:rowOff>
    </xdr:from>
    <xdr:ext cx="4286250" cy="885825"/>
    <xdr:sp macro="" textlink="">
      <xdr:nvSpPr>
        <xdr:cNvPr id="10" name="Rounded Rectangle 9">
          <a:extLst>
            <a:ext uri="{FF2B5EF4-FFF2-40B4-BE49-F238E27FC236}"/>
          </a:extLst>
        </xdr:cNvPr>
        <xdr:cNvSpPr/>
      </xdr:nvSpPr>
      <xdr:spPr>
        <a:xfrm>
          <a:off x="8439150" y="14068425"/>
          <a:ext cx="3476625" cy="8858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t" rtlCol="1"/>
        <a:lstStyle/>
        <a:p>
          <a:pPr lvl="0" algn="l"/>
          <a:r>
            <a:rPr lang="en-US" sz="1100"/>
            <a:t>Sections are tension-controlled if the net</a:t>
          </a:r>
        </a:p>
        <a:p>
          <a:pPr lvl="0" algn="l"/>
          <a:r>
            <a:rPr lang="en-US" sz="1100"/>
            <a:t>tensile strain in the extreme tension steel, </a:t>
          </a:r>
          <a:r>
            <a:rPr lang="el-GR" sz="1100"/>
            <a:t>ε</a:t>
          </a:r>
          <a:r>
            <a:rPr lang="en-US" sz="1100"/>
            <a:t>t, is equal</a:t>
          </a:r>
        </a:p>
        <a:p>
          <a:pPr lvl="0" algn="l"/>
          <a:r>
            <a:rPr lang="en-US" sz="1100"/>
            <a:t>to or greater than 0.005 when the concrete in</a:t>
          </a:r>
        </a:p>
        <a:p>
          <a:pPr lvl="0" algn="l"/>
          <a:r>
            <a:rPr lang="en-US" sz="1100"/>
            <a:t>compression reaches its assumed strain limit of 0.003.</a:t>
          </a:r>
          <a:endParaRPr lang="ar-EG" sz="1100"/>
        </a:p>
      </xdr:txBody>
    </xdr:sp>
    <xdr:clientData fLocksWithSheet="0"/>
  </xdr:oneCellAnchor>
  <xdr:oneCellAnchor>
    <xdr:from>
      <xdr:col>38</xdr:col>
      <xdr:colOff>133350</xdr:colOff>
      <xdr:row>79</xdr:row>
      <xdr:rowOff>38100</xdr:rowOff>
    </xdr:from>
    <xdr:ext cx="561975" cy="228600"/>
    <xdr:sp macro="" textlink="">
      <xdr:nvSpPr>
        <xdr:cNvPr id="11" name="Rounded Rectangle 10">
          <a:extLst>
            <a:ext uri="{FF2B5EF4-FFF2-40B4-BE49-F238E27FC236}"/>
          </a:extLst>
        </xdr:cNvPr>
        <xdr:cNvSpPr/>
      </xdr:nvSpPr>
      <xdr:spPr>
        <a:xfrm>
          <a:off x="7734300" y="140684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10.3.4</a:t>
          </a:r>
          <a:endParaRPr i="0" lang="ar-EG" sz="1100">
            <a:latin typeface="Arial Narrow" pitchFamily="34" charset="0"/>
            <a:cs typeface="+mj-cs"/>
          </a:endParaRPr>
        </a:p>
      </xdr:txBody>
    </xdr:sp>
    <xdr:clientData fLocksWithSheet="0"/>
  </xdr:oneCellAnchor>
  <xdr:oneCellAnchor>
    <xdr:from>
      <xdr:col>42</xdr:col>
      <xdr:colOff>38100</xdr:colOff>
      <xdr:row>89</xdr:row>
      <xdr:rowOff>19050</xdr:rowOff>
    </xdr:from>
    <xdr:ext cx="4286250" cy="885825"/>
    <xdr:sp macro="" textlink="">
      <xdr:nvSpPr>
        <xdr:cNvPr id="12" name="Rounded Rectangle 11">
          <a:extLst>
            <a:ext uri="{FF2B5EF4-FFF2-40B4-BE49-F238E27FC236}"/>
          </a:extLst>
        </xdr:cNvPr>
        <xdr:cNvSpPr/>
      </xdr:nvSpPr>
      <xdr:spPr>
        <a:xfrm>
          <a:off x="8439150" y="15478125"/>
          <a:ext cx="3476625" cy="8858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t" rtlCol="1"/>
        <a:lstStyle/>
        <a:p>
          <a:pPr lvl="0" algn="l"/>
          <a:r>
            <a:rPr lang="en-US" sz="1100"/>
            <a:t>Maximum factored moment, Mu, for an isolated footing shall be computed at critical sections located at face of column, pedestal, or wall, for footings supporting a concrete column, pedestal, or wall.</a:t>
          </a:r>
          <a:endParaRPr lang="ar-EG" sz="1100"/>
        </a:p>
      </xdr:txBody>
    </xdr:sp>
    <xdr:clientData fLocksWithSheet="0"/>
  </xdr:oneCellAnchor>
  <xdr:oneCellAnchor>
    <xdr:from>
      <xdr:col>38</xdr:col>
      <xdr:colOff>133350</xdr:colOff>
      <xdr:row>89</xdr:row>
      <xdr:rowOff>19050</xdr:rowOff>
    </xdr:from>
    <xdr:ext cx="561975" cy="228600"/>
    <xdr:sp macro="" textlink="">
      <xdr:nvSpPr>
        <xdr:cNvPr id="13" name="Rounded Rectangle 12">
          <a:extLst>
            <a:ext uri="{FF2B5EF4-FFF2-40B4-BE49-F238E27FC236}"/>
          </a:extLst>
        </xdr:cNvPr>
        <xdr:cNvSpPr/>
      </xdr:nvSpPr>
      <xdr:spPr>
        <a:xfrm>
          <a:off x="7734300" y="154781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15.4.2</a:t>
          </a:r>
          <a:endParaRPr i="0" lang="ar-EG" sz="1100">
            <a:latin typeface="Arial Narrow" pitchFamily="34" charset="0"/>
            <a:cs typeface="+mj-cs"/>
          </a:endParaRPr>
        </a:p>
      </xdr:txBody>
    </xdr:sp>
    <xdr:clientData fLocksWithSheet="0"/>
  </xdr:oneCellAnchor>
  <xdr:oneCellAnchor>
    <xdr:from>
      <xdr:col>42</xdr:col>
      <xdr:colOff>38100</xdr:colOff>
      <xdr:row>98</xdr:row>
      <xdr:rowOff>19050</xdr:rowOff>
    </xdr:from>
    <xdr:ext cx="4286250" cy="685800"/>
    <xdr:sp macro="" textlink="">
      <xdr:nvSpPr>
        <xdr:cNvPr id="14" name="Rounded Rectangle 13">
          <a:extLst>
            <a:ext uri="{FF2B5EF4-FFF2-40B4-BE49-F238E27FC236}"/>
          </a:extLst>
        </xdr:cNvPr>
        <xdr:cNvSpPr/>
      </xdr:nvSpPr>
      <xdr:spPr>
        <a:xfrm>
          <a:off x="8439150" y="17278351"/>
          <a:ext cx="3476625" cy="685800"/>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t" rtlCol="1"/>
        <a:lstStyle/>
        <a:p>
          <a:pPr lvl="0" algn="l"/>
          <a:r>
            <a:rPr lang="en-US" sz="1100"/>
            <a:t>For structural slabs and footings of uniform</a:t>
          </a:r>
        </a:p>
        <a:p>
          <a:pPr lvl="0" algn="l"/>
          <a:r>
            <a:rPr lang="en-US" sz="1100"/>
            <a:t>thickness , Maximum spacing of reinforcement shall not exceed three times the thickness, nor 450 mm.</a:t>
          </a:r>
          <a:endParaRPr lang="ar-EG" sz="1100"/>
        </a:p>
      </xdr:txBody>
    </xdr:sp>
    <xdr:clientData fLocksWithSheet="0"/>
  </xdr:oneCellAnchor>
  <xdr:oneCellAnchor>
    <xdr:from>
      <xdr:col>38</xdr:col>
      <xdr:colOff>133350</xdr:colOff>
      <xdr:row>98</xdr:row>
      <xdr:rowOff>19050</xdr:rowOff>
    </xdr:from>
    <xdr:ext cx="561975" cy="228600"/>
    <xdr:sp macro="" textlink="">
      <xdr:nvSpPr>
        <xdr:cNvPr id="15" name="Rounded Rectangle 14">
          <a:extLst>
            <a:ext uri="{FF2B5EF4-FFF2-40B4-BE49-F238E27FC236}"/>
          </a:extLst>
        </xdr:cNvPr>
        <xdr:cNvSpPr/>
      </xdr:nvSpPr>
      <xdr:spPr>
        <a:xfrm>
          <a:off x="7734300" y="17278350"/>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10.5.4</a:t>
          </a:r>
          <a:endParaRPr i="0" lang="ar-EG" sz="1100">
            <a:latin typeface="Arial Narrow" pitchFamily="34" charset="0"/>
            <a:cs typeface="+mj-cs"/>
          </a:endParaRPr>
        </a:p>
      </xdr:txBody>
    </xdr:sp>
    <xdr:clientData fLocksWithSheet="0"/>
  </xdr:oneCellAnchor>
  <xdr:oneCellAnchor>
    <xdr:from>
      <xdr:col>42</xdr:col>
      <xdr:colOff>38100</xdr:colOff>
      <xdr:row>106</xdr:row>
      <xdr:rowOff>190500</xdr:rowOff>
    </xdr:from>
    <xdr:ext cx="4286250" cy="2371725"/>
    <xdr:sp macro="" textlink="">
      <xdr:nvSpPr>
        <xdr:cNvPr id="16" name="Rounded Rectangle 15">
          <a:extLst>
            <a:ext uri="{FF2B5EF4-FFF2-40B4-BE49-F238E27FC236}"/>
          </a:extLst>
        </xdr:cNvPr>
        <xdr:cNvSpPr/>
      </xdr:nvSpPr>
      <xdr:spPr>
        <a:xfrm>
          <a:off x="8439150" y="18764250"/>
          <a:ext cx="3476625" cy="2171700"/>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t" rtlCol="1"/>
        <a:lstStyle/>
        <a:p>
          <a:pPr lvl="0" algn="l"/>
          <a:r>
            <a:rPr lang="en-US" sz="1100"/>
            <a:t>Area of shrinkage and temperature reinforcement shall provide at least the following ratios of reinforcement area to gross concrete area, but not less than 0.0014:</a:t>
          </a:r>
        </a:p>
        <a:p>
          <a:pPr lvl="0" algn="l"/>
          <a:r>
            <a:rPr lang="en-US" sz="1100"/>
            <a:t>(a) Slabs where Grade 280 or 530 deformed bars are used ...............................................................0.0020</a:t>
          </a:r>
        </a:p>
        <a:p>
          <a:pPr lvl="0" algn="l"/>
          <a:r>
            <a:rPr lang="en-US" sz="1100"/>
            <a:t>(b) Slabs where Grade 420 deformed bars or welded wire reinforcement are used .........................0.0018 </a:t>
          </a:r>
        </a:p>
        <a:p>
          <a:pPr lvl="0" algn="l"/>
          <a:r>
            <a:rPr lang="en-US" sz="1100"/>
            <a:t>(c) Slabs where reinforcement with yield stress exceeding 420 Mpa</a:t>
          </a:r>
          <a:endParaRPr lang="ar-EG" sz="1100"/>
        </a:p>
      </xdr:txBody>
    </xdr:sp>
    <xdr:clientData fLocksWithSheet="0"/>
  </xdr:oneCellAnchor>
  <xdr:oneCellAnchor>
    <xdr:from>
      <xdr:col>38</xdr:col>
      <xdr:colOff>85725</xdr:colOff>
      <xdr:row>106</xdr:row>
      <xdr:rowOff>180975</xdr:rowOff>
    </xdr:from>
    <xdr:ext cx="619125" cy="238125"/>
    <xdr:sp macro="" textlink="">
      <xdr:nvSpPr>
        <xdr:cNvPr id="17" name="Rounded Rectangle 16">
          <a:extLst>
            <a:ext uri="{FF2B5EF4-FFF2-40B4-BE49-F238E27FC236}"/>
          </a:extLst>
        </xdr:cNvPr>
        <xdr:cNvSpPr/>
      </xdr:nvSpPr>
      <xdr:spPr>
        <a:xfrm>
          <a:off x="7686675" y="18983324"/>
          <a:ext cx="714374" cy="238125"/>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17.12.2.1</a:t>
          </a:r>
          <a:endParaRPr i="0" lang="ar-EG" sz="1100">
            <a:latin typeface="Arial Narrow" pitchFamily="34" charset="0"/>
            <a:cs typeface="+mj-cs"/>
          </a:endParaRPr>
        </a:p>
      </xdr:txBody>
    </xdr:sp>
    <xdr:clientData fLocksWithSheet="0"/>
  </xdr:oneCellAnchor>
  <xdr:oneCellAnchor>
    <xdr:from>
      <xdr:col>42</xdr:col>
      <xdr:colOff>38100</xdr:colOff>
      <xdr:row>159</xdr:row>
      <xdr:rowOff>180975</xdr:rowOff>
    </xdr:from>
    <xdr:ext cx="4286250" cy="2057400"/>
    <xdr:sp macro="" textlink="">
      <xdr:nvSpPr>
        <xdr:cNvPr id="18" name="Rounded Rectangle 17">
          <a:extLst>
            <a:ext uri="{FF2B5EF4-FFF2-40B4-BE49-F238E27FC236}"/>
          </a:extLst>
        </xdr:cNvPr>
        <xdr:cNvSpPr/>
      </xdr:nvSpPr>
      <xdr:spPr>
        <a:xfrm>
          <a:off x="8439150" y="27841575"/>
          <a:ext cx="3476625" cy="2228850"/>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Design bearing strength of concrete shall not exceed </a:t>
          </a:r>
          <a:r>
            <a:rPr lang="el-GR" sz="1100"/>
            <a:t>φ(0.85</a:t>
          </a:r>
          <a:r>
            <a:rPr lang="en-US" sz="1100"/>
            <a:t>fc′A1), except when the supporting surface is wider on all sides than the loaded area, then the design bearing strength of the loaded area shall be permitted to be multiplied by               but not more than 2, where A1 is the column (loaded) area and A2 is the plan area of the lower base of the largest frustum of a pyramid, cone, or tapered wedge contained wholly within the support and having for its upper base the loaded area, and having side slopes of 1 vertical to 2 horizontal.</a:t>
          </a:r>
          <a:endParaRPr lang="ar-EG" sz="1100"/>
        </a:p>
      </xdr:txBody>
    </xdr:sp>
    <xdr:clientData fLocksWithSheet="0"/>
  </xdr:oneCellAnchor>
  <xdr:oneCellAnchor>
    <xdr:from>
      <xdr:col>38</xdr:col>
      <xdr:colOff>133350</xdr:colOff>
      <xdr:row>159</xdr:row>
      <xdr:rowOff>180975</xdr:rowOff>
    </xdr:from>
    <xdr:ext cx="561975" cy="228600"/>
    <xdr:sp macro="" textlink="">
      <xdr:nvSpPr>
        <xdr:cNvPr id="19" name="Rounded Rectangle 18">
          <a:extLst>
            <a:ext uri="{FF2B5EF4-FFF2-40B4-BE49-F238E27FC236}"/>
          </a:extLst>
        </xdr:cNvPr>
        <xdr:cNvSpPr/>
      </xdr:nvSpPr>
      <xdr:spPr>
        <a:xfrm>
          <a:off x="7734300" y="2784157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10.14.1</a:t>
          </a:r>
          <a:endParaRPr i="0" lang="ar-EG" sz="1100">
            <a:latin typeface="Arial Narrow" pitchFamily="34" charset="0"/>
            <a:cs typeface="+mj-cs"/>
          </a:endParaRPr>
        </a:p>
      </xdr:txBody>
    </xdr:sp>
    <xdr:clientData fLocksWithSheet="0"/>
  </xdr:oneCellAnchor>
  <xdr:oneCellAnchor>
    <xdr:from>
      <xdr:col>42</xdr:col>
      <xdr:colOff>38100</xdr:colOff>
      <xdr:row>178</xdr:row>
      <xdr:rowOff>171450</xdr:rowOff>
    </xdr:from>
    <xdr:ext cx="4286250" cy="742950"/>
    <xdr:sp macro="" textlink="">
      <xdr:nvSpPr>
        <xdr:cNvPr id="22" name="Rounded Rectangle 21">
          <a:extLst>
            <a:ext uri="{FF2B5EF4-FFF2-40B4-BE49-F238E27FC236}"/>
          </a:extLst>
        </xdr:cNvPr>
        <xdr:cNvSpPr/>
      </xdr:nvSpPr>
      <xdr:spPr>
        <a:xfrm>
          <a:off x="8439150" y="30784800"/>
          <a:ext cx="3476625" cy="819150"/>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For cast-in-place columns and pedestals,area of reinforcement across interface shall be not less than 0.005Ag, where Ag is the gross area of the supported member.</a:t>
          </a:r>
          <a:endParaRPr lang="ar-EG" sz="1100"/>
        </a:p>
      </xdr:txBody>
    </xdr:sp>
    <xdr:clientData fLocksWithSheet="0"/>
  </xdr:oneCellAnchor>
  <xdr:oneCellAnchor>
    <xdr:from>
      <xdr:col>38</xdr:col>
      <xdr:colOff>133350</xdr:colOff>
      <xdr:row>178</xdr:row>
      <xdr:rowOff>171450</xdr:rowOff>
    </xdr:from>
    <xdr:ext cx="561975" cy="190500"/>
    <xdr:sp macro="" textlink="">
      <xdr:nvSpPr>
        <xdr:cNvPr id="23" name="Rounded Rectangle 22">
          <a:extLst>
            <a:ext uri="{FF2B5EF4-FFF2-40B4-BE49-F238E27FC236}"/>
          </a:extLst>
        </xdr:cNvPr>
        <xdr:cNvSpPr/>
      </xdr:nvSpPr>
      <xdr:spPr>
        <a:xfrm>
          <a:off x="7734300" y="30784800"/>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15.8.2.1</a:t>
          </a:r>
          <a:endParaRPr i="0" lang="ar-EG" sz="1100">
            <a:latin typeface="Arial Narrow" pitchFamily="34" charset="0"/>
            <a:cs typeface="+mj-cs"/>
          </a:endParaRPr>
        </a:p>
      </xdr:txBody>
    </xdr:sp>
    <xdr:clientData fLocksWithSheet="0"/>
  </xdr:oneCellAnchor>
  <xdr:oneCellAnchor>
    <xdr:from>
      <xdr:col>42</xdr:col>
      <xdr:colOff>38100</xdr:colOff>
      <xdr:row>187</xdr:row>
      <xdr:rowOff>47625</xdr:rowOff>
    </xdr:from>
    <xdr:ext cx="4286250" cy="390525"/>
    <xdr:sp macro="" textlink="">
      <xdr:nvSpPr>
        <xdr:cNvPr id="24" name="Rounded Rectangle 23">
          <a:extLst>
            <a:ext uri="{FF2B5EF4-FFF2-40B4-BE49-F238E27FC236}"/>
          </a:extLst>
        </xdr:cNvPr>
        <xdr:cNvSpPr/>
      </xdr:nvSpPr>
      <xdr:spPr>
        <a:xfrm>
          <a:off x="8439150" y="32051625"/>
          <a:ext cx="3476625" cy="3905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For deformed bars and deformed wire, ldc shall be taken as the larger of (0.24fy /            </a:t>
          </a:r>
          <a:r>
            <a:rPr lang="el-GR" sz="1100"/>
            <a:t>λ )</a:t>
          </a:r>
          <a:r>
            <a:rPr lang="en-US" sz="1100"/>
            <a:t>db and (0.043fy)db</a:t>
          </a:r>
          <a:endParaRPr lang="ar-EG" sz="1100"/>
        </a:p>
      </xdr:txBody>
    </xdr:sp>
    <xdr:clientData fLocksWithSheet="0"/>
  </xdr:oneCellAnchor>
  <xdr:oneCellAnchor>
    <xdr:from>
      <xdr:col>38</xdr:col>
      <xdr:colOff>133350</xdr:colOff>
      <xdr:row>187</xdr:row>
      <xdr:rowOff>47625</xdr:rowOff>
    </xdr:from>
    <xdr:ext cx="561975" cy="228600"/>
    <xdr:sp macro="" textlink="">
      <xdr:nvSpPr>
        <xdr:cNvPr id="25" name="Rounded Rectangle 24">
          <a:extLst>
            <a:ext uri="{FF2B5EF4-FFF2-40B4-BE49-F238E27FC236}"/>
          </a:extLst>
        </xdr:cNvPr>
        <xdr:cNvSpPr/>
      </xdr:nvSpPr>
      <xdr:spPr>
        <a:xfrm>
          <a:off x="7734300" y="320516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12.3.2</a:t>
          </a:r>
          <a:endParaRPr i="0" lang="ar-EG" sz="1100">
            <a:latin typeface="Arial Narrow" pitchFamily="34" charset="0"/>
            <a:cs typeface="+mj-cs"/>
          </a:endParaRPr>
        </a:p>
      </xdr:txBody>
    </xdr:sp>
    <xdr:clientData fLocksWithSheet="0"/>
  </xdr:oneCellAnchor>
  <xdr:oneCellAnchor>
    <xdr:from>
      <xdr:col>42</xdr:col>
      <xdr:colOff>38100</xdr:colOff>
      <xdr:row>190</xdr:row>
      <xdr:rowOff>47625</xdr:rowOff>
    </xdr:from>
    <xdr:ext cx="4286250" cy="876300"/>
    <xdr:sp macro="" textlink="">
      <xdr:nvSpPr>
        <xdr:cNvPr id="26" name="Rounded Rectangle 25">
          <a:extLst>
            <a:ext uri="{FF2B5EF4-FFF2-40B4-BE49-F238E27FC236}"/>
          </a:extLst>
        </xdr:cNvPr>
        <xdr:cNvSpPr/>
      </xdr:nvSpPr>
      <xdr:spPr>
        <a:xfrm>
          <a:off x="8439150" y="32623125"/>
          <a:ext cx="3476625" cy="819150"/>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Length ldc shall be permitted to be multiplied by the applicable factors: </a:t>
          </a:r>
        </a:p>
        <a:p>
          <a:pPr lvl="0" algn="l"/>
          <a:r>
            <a:rPr lang="en-US" sz="1100"/>
            <a:t>(a) Reinforcement in excess of that required by</a:t>
          </a:r>
        </a:p>
        <a:p>
          <a:pPr lvl="0" algn="l"/>
          <a:r>
            <a:rPr lang="en-US" sz="1100"/>
            <a:t>analysis.................... (As required)/(As provided)</a:t>
          </a:r>
          <a:endParaRPr lang="ar-EG" sz="1100"/>
        </a:p>
      </xdr:txBody>
    </xdr:sp>
    <xdr:clientData fLocksWithSheet="0"/>
  </xdr:oneCellAnchor>
  <xdr:oneCellAnchor>
    <xdr:from>
      <xdr:col>38</xdr:col>
      <xdr:colOff>133350</xdr:colOff>
      <xdr:row>190</xdr:row>
      <xdr:rowOff>47625</xdr:rowOff>
    </xdr:from>
    <xdr:ext cx="561975" cy="209550"/>
    <xdr:sp macro="" textlink="">
      <xdr:nvSpPr>
        <xdr:cNvPr id="27" name="Rounded Rectangle 26">
          <a:extLst>
            <a:ext uri="{FF2B5EF4-FFF2-40B4-BE49-F238E27FC236}"/>
          </a:extLst>
        </xdr:cNvPr>
        <xdr:cNvSpPr/>
      </xdr:nvSpPr>
      <xdr:spPr>
        <a:xfrm>
          <a:off x="7734300" y="326231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12.3.3</a:t>
          </a:r>
          <a:endParaRPr i="0" lang="ar-EG" sz="1100">
            <a:latin typeface="Arial Narrow" pitchFamily="34" charset="0"/>
            <a:cs typeface="+mj-cs"/>
          </a:endParaRPr>
        </a:p>
      </xdr:txBody>
    </xdr:sp>
    <xdr:clientData fLocksWithSheet="0"/>
  </xdr:oneCellAnchor>
  <xdr:oneCellAnchor>
    <xdr:from>
      <xdr:col>42</xdr:col>
      <xdr:colOff>38100</xdr:colOff>
      <xdr:row>196</xdr:row>
      <xdr:rowOff>19050</xdr:rowOff>
    </xdr:from>
    <xdr:ext cx="4343400" cy="885825"/>
    <xdr:sp macro="" textlink="">
      <xdr:nvSpPr>
        <xdr:cNvPr id="28" name="Rounded Rectangle 27">
          <a:extLst>
            <a:ext uri="{FF2B5EF4-FFF2-40B4-BE49-F238E27FC236}"/>
          </a:extLst>
        </xdr:cNvPr>
        <xdr:cNvSpPr/>
      </xdr:nvSpPr>
      <xdr:spPr>
        <a:xfrm>
          <a:off x="8439150" y="33613724"/>
          <a:ext cx="3533775" cy="923925"/>
        </a:xfrm>
        <a:prstGeom prst="roundRect">
          <a:avLst/>
        </a:prstGeom>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xdr:spPr>
      <xdr:style>
        <a:lnRef idx="0">
          <a:schemeClr val="accent1"/>
        </a:lnRef>
        <a:fillRef idx="3">
          <a:schemeClr val="accent1"/>
        </a:fillRef>
        <a:effectRef idx="3">
          <a:schemeClr val="accent1"/>
        </a:effectRef>
        <a:fontRef idx="minor">
          <a:schemeClr val="lt1"/>
        </a:fontRef>
      </xdr:style>
      <xdr:txBody>
        <a:bodyPr anchor="ctr" rtlCol="1"/>
        <a:lstStyle/>
        <a:p>
          <a:pPr lvl="0" algn="l"/>
          <a:r>
            <a:rPr lang="en-US" sz="1100"/>
            <a:t>Compression lap splice length shall be</a:t>
          </a:r>
        </a:p>
        <a:p>
          <a:pPr lvl="0" algn="l"/>
          <a:r>
            <a:rPr lang="en-US" sz="1100"/>
            <a:t>0.071fydb , for fy of 420 MPa or less, or (0.13fy –</a:t>
          </a:r>
        </a:p>
        <a:p>
          <a:pPr lvl="0" algn="l"/>
          <a:r>
            <a:rPr lang="en-US" sz="1100"/>
            <a:t>24)db for fy greater than 420 MPa, but not less than</a:t>
          </a:r>
        </a:p>
        <a:p>
          <a:pPr lvl="0" algn="l"/>
          <a:r>
            <a:rPr lang="en-US" sz="1100"/>
            <a:t>300 mm. For fc′ less than 21 MPa, length of lap shall</a:t>
          </a:r>
        </a:p>
        <a:p>
          <a:pPr lvl="0" algn="l"/>
          <a:r>
            <a:rPr lang="en-US" sz="1100"/>
            <a:t>be increased by one-third.</a:t>
          </a:r>
          <a:endParaRPr lang="ar-EG" sz="1100"/>
        </a:p>
      </xdr:txBody>
    </xdr:sp>
    <xdr:clientData fLocksWithSheet="0"/>
  </xdr:oneCellAnchor>
  <xdr:oneCellAnchor>
    <xdr:from>
      <xdr:col>38</xdr:col>
      <xdr:colOff>133350</xdr:colOff>
      <xdr:row>196</xdr:row>
      <xdr:rowOff>28575</xdr:rowOff>
    </xdr:from>
    <xdr:ext cx="561975" cy="209550"/>
    <xdr:sp macro="" textlink="">
      <xdr:nvSpPr>
        <xdr:cNvPr id="29" name="Rounded Rectangle 28">
          <a:extLst>
            <a:ext uri="{FF2B5EF4-FFF2-40B4-BE49-F238E27FC236}"/>
          </a:extLst>
        </xdr:cNvPr>
        <xdr:cNvSpPr/>
      </xdr:nvSpPr>
      <xdr:spPr>
        <a:xfrm>
          <a:off x="7734300" y="33613725"/>
          <a:ext cx="647700" cy="228600"/>
        </a:xfrm>
        <a:prstGeom prst="roundRect">
          <a:avLst/>
        </a:prstGeom>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xdr:spPr>
      <xdr:style>
        <a:lnRef idx="0">
          <a:schemeClr val="accent6"/>
        </a:lnRef>
        <a:fillRef idx="3">
          <a:schemeClr val="accent6"/>
        </a:fillRef>
        <a:effectRef idx="3">
          <a:schemeClr val="accent6"/>
        </a:effectRef>
        <a:fontRef idx="minor">
          <a:schemeClr val="lt1"/>
        </a:fontRef>
      </xdr:style>
      <xdr:txBody>
        <a:bodyPr anchor="ctr" rtlCol="1"/>
        <a:lstStyle/>
        <a:p>
          <a:pPr lvl="0" algn="ctr"/>
          <a:r>
            <a:rPr i="0" lang="en-US" sz="1100">
              <a:latin typeface="Arial Narrow" pitchFamily="34" charset="0"/>
              <a:cs typeface="+mj-cs"/>
            </a:rPr>
            <a:t>12.16.1</a:t>
          </a:r>
          <a:endParaRPr i="0" lang="ar-EG" sz="1100">
            <a:latin typeface="Arial Narrow" pitchFamily="34" charset="0"/>
            <a:cs typeface="+mj-cs"/>
          </a:endParaRPr>
        </a:p>
      </xdr:txBody>
    </xdr:sp>
    <xdr:clientData fLocksWithSheet="0"/>
  </xdr:oneCellAnchor>
  <xdr:oneCellAnchor>
    <xdr:from>
      <xdr:col>15</xdr:col>
      <xdr:colOff>19050</xdr:colOff>
      <xdr:row>76</xdr:row>
      <xdr:rowOff>0</xdr:rowOff>
    </xdr:from>
    <xdr:ext cx="285750" cy="200025"/>
    <xdr:sp macro="" textlink="">
      <xdr:nvSpPr>
        <xdr:cNvPr hidden="1" id="1029" name="Object 5">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15</xdr:col>
      <xdr:colOff>142875</xdr:colOff>
      <xdr:row>92</xdr:row>
      <xdr:rowOff>9525</xdr:rowOff>
    </xdr:from>
    <xdr:ext cx="1066800" cy="400050"/>
    <xdr:sp macro="" textlink="">
      <xdr:nvSpPr>
        <xdr:cNvPr hidden="1" id="1030" name="Object 6">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9</xdr:col>
      <xdr:colOff>76200</xdr:colOff>
      <xdr:row>73</xdr:row>
      <xdr:rowOff>0</xdr:rowOff>
    </xdr:from>
    <xdr:ext cx="304800" cy="200025"/>
    <xdr:sp macro="" textlink="">
      <xdr:nvSpPr>
        <xdr:cNvPr hidden="1" id="1031" name="Object 7">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14</xdr:col>
      <xdr:colOff>19050</xdr:colOff>
      <xdr:row>63</xdr:row>
      <xdr:rowOff>152400</xdr:rowOff>
    </xdr:from>
    <xdr:ext cx="285750" cy="238125"/>
    <xdr:sp macro="" textlink="">
      <xdr:nvSpPr>
        <xdr:cNvPr hidden="1" id="1032" name="Object 8">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14</xdr:col>
      <xdr:colOff>19050</xdr:colOff>
      <xdr:row>62</xdr:row>
      <xdr:rowOff>9525</xdr:rowOff>
    </xdr:from>
    <xdr:ext cx="285750" cy="200025"/>
    <xdr:sp macro="" textlink="">
      <xdr:nvSpPr>
        <xdr:cNvPr hidden="1" id="1033" name="Object 9">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15</xdr:col>
      <xdr:colOff>142875</xdr:colOff>
      <xdr:row>105</xdr:row>
      <xdr:rowOff>0</xdr:rowOff>
    </xdr:from>
    <xdr:ext cx="1066800" cy="400050"/>
    <xdr:sp macro="" textlink="">
      <xdr:nvSpPr>
        <xdr:cNvPr hidden="1" id="1034" name="Object 10">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13</xdr:col>
      <xdr:colOff>104775</xdr:colOff>
      <xdr:row>118</xdr:row>
      <xdr:rowOff>9525</xdr:rowOff>
    </xdr:from>
    <xdr:ext cx="304800" cy="200025"/>
    <xdr:sp macro="" textlink="">
      <xdr:nvSpPr>
        <xdr:cNvPr hidden="1" id="1035" name="Object 11">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13</xdr:col>
      <xdr:colOff>104775</xdr:colOff>
      <xdr:row>128</xdr:row>
      <xdr:rowOff>9525</xdr:rowOff>
    </xdr:from>
    <xdr:ext cx="304800" cy="200025"/>
    <xdr:sp macro="" textlink="">
      <xdr:nvSpPr>
        <xdr:cNvPr hidden="1" id="1036" name="Object 12">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13</xdr:col>
      <xdr:colOff>104775</xdr:colOff>
      <xdr:row>134</xdr:row>
      <xdr:rowOff>9525</xdr:rowOff>
    </xdr:from>
    <xdr:ext cx="304800" cy="200025"/>
    <xdr:sp macro="" textlink="">
      <xdr:nvSpPr>
        <xdr:cNvPr hidden="1" id="1038" name="Object 14">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13</xdr:col>
      <xdr:colOff>104775</xdr:colOff>
      <xdr:row>144</xdr:row>
      <xdr:rowOff>9525</xdr:rowOff>
    </xdr:from>
    <xdr:ext cx="304800" cy="200025"/>
    <xdr:sp macro="" textlink="">
      <xdr:nvSpPr>
        <xdr:cNvPr hidden="1" id="1039" name="Object 15">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10</xdr:col>
      <xdr:colOff>85725</xdr:colOff>
      <xdr:row>164</xdr:row>
      <xdr:rowOff>66675</xdr:rowOff>
    </xdr:from>
    <xdr:ext cx="390525" cy="409575"/>
    <xdr:sp macro="" textlink="">
      <xdr:nvSpPr>
        <xdr:cNvPr hidden="1" id="1041" name="Object 17">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51</xdr:col>
      <xdr:colOff>114300</xdr:colOff>
      <xdr:row>164</xdr:row>
      <xdr:rowOff>142875</xdr:rowOff>
    </xdr:from>
    <xdr:ext cx="342900" cy="304800"/>
    <xdr:sp macro="" textlink="">
      <xdr:nvSpPr>
        <xdr:cNvPr hidden="1" id="1042" name="Object 18">
          <a:extLst>
            <a:ext uri="{63B3BB69-23CF-44E3-9099-C40C66FF867C}"/>
            <a:ext uri="{FF2B5EF4-FFF2-40B4-BE49-F238E27FC236}"/>
          </a:extLst>
        </xdr:cNvPr>
        <xdr:cNvSpPr/>
      </xdr:nvSpPr>
      <xdr:spPr bwMode="auto">
        <a:xfrm>
          <a:off x="0" y="0"/>
          <a:ext cx="0" cy="0"/>
        </a:xfrm>
        <a:prstGeom prst="rect">
          <a:avLst/>
        </a:prstGeom>
        <a:noFill/>
        <a:ln>
          <a:noFill/>
        </a:ln>
        <a:extLst>
          <a:ext uri="{909E8E84-426E-40DD-AFC4-6F175D3DCCD1}"/>
          <a:ext uri="{91240B29-F687-4F45-9708-019B960494DF}"/>
        </a:extLst>
      </xdr:spPr>
    </xdr:sp>
    <xdr:clientData fLocksWithSheet="0"/>
  </xdr:oneCellAnchor>
  <xdr:oneCellAnchor>
    <xdr:from>
      <xdr:col>18</xdr:col>
      <xdr:colOff>0</xdr:colOff>
      <xdr:row>159</xdr:row>
      <xdr:rowOff>114300</xdr:rowOff>
    </xdr:from>
    <xdr:ext cx="295275" cy="333375"/>
    <xdr:sp macro="" textlink="">
      <xdr:nvSpPr>
        <xdr:cNvPr hidden="1" id="1043" name="Object 19">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15</xdr:col>
      <xdr:colOff>142875</xdr:colOff>
      <xdr:row>187</xdr:row>
      <xdr:rowOff>142875</xdr:rowOff>
    </xdr:from>
    <xdr:ext cx="304800" cy="247650"/>
    <xdr:sp macro="" textlink="">
      <xdr:nvSpPr>
        <xdr:cNvPr hidden="1" id="1046" name="Object 22">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oneCellAnchor>
    <xdr:from>
      <xdr:col>49</xdr:col>
      <xdr:colOff>114300</xdr:colOff>
      <xdr:row>188</xdr:row>
      <xdr:rowOff>38100</xdr:rowOff>
    </xdr:from>
    <xdr:ext cx="276225" cy="190500"/>
    <xdr:sp macro="" textlink="">
      <xdr:nvSpPr>
        <xdr:cNvPr hidden="1" id="1047" name="Object 23">
          <a:extLst>
            <a:ext uri="{63B3BB69-23CF-44E3-9099-C40C66FF867C}"/>
            <a:ext uri="{FF2B5EF4-FFF2-40B4-BE49-F238E27FC236}"/>
          </a:extLst>
        </xdr:cNvPr>
        <xdr:cNvSpPr/>
      </xdr:nvSpPr>
      <xdr:spPr bwMode="auto">
        <a:xfrm>
          <a:off x="0" y="0"/>
          <a:ext cx="0" cy="0"/>
        </a:xfrm>
        <a:prstGeom prst="rect">
          <a:avLst/>
        </a:prstGeom>
        <a:noFill/>
        <a:ln>
          <a:noFill/>
        </a:ln>
        <a:extLst>
          <a:ext uri="{909E8E84-426E-40DD-AFC4-6F175D3DCCD1}"/>
          <a:ext uri="{91240B29-F687-4F45-9708-019B960494DF}"/>
        </a:extLst>
      </xdr:spPr>
    </xdr:sp>
    <xdr:clientData fLocksWithSheet="0"/>
  </xdr:oneCellAnchor>
  <xdr:oneCellAnchor>
    <xdr:from>
      <xdr:col>15</xdr:col>
      <xdr:colOff>142875</xdr:colOff>
      <xdr:row>198</xdr:row>
      <xdr:rowOff>142875</xdr:rowOff>
    </xdr:from>
    <xdr:ext cx="304800" cy="257175"/>
    <xdr:sp macro="" textlink="">
      <xdr:nvSpPr>
        <xdr:cNvPr hidden="1" id="1050" name="Object 26">
          <a:extLst>
            <a:ext uri="{63B3BB69-23CF-44E3-9099-C40C66FF867C}"/>
            <a:ext uri="{FF2B5EF4-FFF2-40B4-BE49-F238E27FC236}"/>
          </a:extLst>
        </xdr:cNvPr>
        <xdr:cNvSpPr/>
      </xdr:nvSpPr>
      <xdr:spPr bwMode="auto">
        <a:xfrm>
          <a:off x="0" y="0"/>
          <a:ext cx="0" cy="0"/>
        </a:xfrm>
        <a:prstGeom prst="rect">
          <a:avLst/>
        </a:prstGeom>
        <a:solidFill>
          <a:srgbClr val="FFFFFF"/>
        </a:solidFill>
        <a:ln>
          <a:noFill/>
        </a:ln>
        <a:extLst>
          <a:ext uri="{91240B29-F687-4F45-9708-019B960494DF}"/>
        </a:extLst>
      </xdr:spPr>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5" width="2.57"/>
    <col customWidth="1" min="16" max="16" width="4.71"/>
    <col customWidth="1" min="17" max="34" width="2.57"/>
    <col customWidth="1" min="35" max="35" width="7.86"/>
    <col customWidth="1" min="36" max="46" width="2.57"/>
    <col customWidth="1" min="47" max="47" width="5.14"/>
    <col customWidth="1" min="48" max="49" width="6.0"/>
    <col customWidth="1" min="50" max="50" width="8.86"/>
    <col customWidth="1" min="51" max="56" width="2.57"/>
    <col customWidth="1" min="57" max="57" width="6.29"/>
    <col customWidth="1" min="58" max="71" width="2.57"/>
  </cols>
  <sheetData>
    <row r="1" ht="13.5" customHeight="1">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ht="13.5" customHeight="1">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row>
    <row r="3" ht="13.5" customHeight="1">
      <c r="A3" s="1"/>
      <c r="B3" s="1"/>
      <c r="C3" s="2"/>
      <c r="D3" s="2"/>
      <c r="E3" s="2"/>
      <c r="F3" s="2"/>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2"/>
      <c r="AP3" s="2"/>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row>
    <row r="4" ht="13.5" customHeight="1">
      <c r="A4" s="1"/>
      <c r="B4" s="1"/>
      <c r="C4" s="2"/>
      <c r="D4" s="2"/>
      <c r="E4" s="2"/>
      <c r="F4" s="2"/>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2"/>
      <c r="AP4" s="2"/>
      <c r="AQ4" s="1"/>
      <c r="AR4" s="1"/>
      <c r="AS4" s="1"/>
      <c r="AT4" s="1"/>
      <c r="AU4" s="4">
        <v>1007.3341</v>
      </c>
      <c r="AV4" s="1"/>
      <c r="AW4" s="1"/>
      <c r="AX4" s="1"/>
      <c r="AY4" s="1"/>
      <c r="AZ4" s="1"/>
      <c r="BA4" s="1"/>
      <c r="BB4" s="1"/>
      <c r="BC4" s="1"/>
      <c r="BD4" s="1"/>
      <c r="BE4" s="1"/>
      <c r="BF4" s="1"/>
      <c r="BG4" s="1"/>
      <c r="BH4" s="1"/>
      <c r="BI4" s="1"/>
      <c r="BJ4" s="1"/>
      <c r="BK4" s="1"/>
      <c r="BL4" s="1"/>
      <c r="BM4" s="1"/>
      <c r="BN4" s="1"/>
      <c r="BO4" s="1"/>
      <c r="BP4" s="1"/>
      <c r="BQ4" s="1"/>
      <c r="BR4" s="1"/>
      <c r="BS4" s="1"/>
    </row>
    <row r="5" ht="13.5" customHeight="1">
      <c r="A5" s="1"/>
      <c r="B5" s="1"/>
      <c r="C5" s="2"/>
      <c r="D5" s="2"/>
      <c r="E5" s="2"/>
      <c r="F5" s="2"/>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2"/>
      <c r="AP5" s="2"/>
      <c r="AQ5" s="1"/>
      <c r="AR5" s="1"/>
      <c r="AS5" s="1"/>
      <c r="AT5" s="1"/>
      <c r="AU5" s="4">
        <v>145.8415</v>
      </c>
      <c r="AV5" s="1"/>
      <c r="AW5" s="1"/>
      <c r="AX5" s="1"/>
      <c r="AY5" s="1"/>
      <c r="AZ5" s="1"/>
      <c r="BA5" s="1"/>
      <c r="BB5" s="1"/>
      <c r="BC5" s="1"/>
      <c r="BD5" s="1"/>
      <c r="BE5" s="1"/>
      <c r="BF5" s="1"/>
      <c r="BG5" s="1"/>
      <c r="BH5" s="1"/>
      <c r="BI5" s="1"/>
      <c r="BJ5" s="1"/>
      <c r="BK5" s="1"/>
      <c r="BL5" s="1"/>
      <c r="BM5" s="1"/>
      <c r="BN5" s="1"/>
      <c r="BO5" s="1"/>
      <c r="BP5" s="1"/>
      <c r="BQ5" s="1"/>
      <c r="BR5" s="1"/>
      <c r="BS5" s="1"/>
    </row>
    <row r="6" ht="13.5" customHeight="1">
      <c r="A6" s="1"/>
      <c r="B6" s="1"/>
      <c r="C6" s="2"/>
      <c r="D6" s="2"/>
      <c r="E6" s="2"/>
      <c r="F6" s="2"/>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2"/>
      <c r="AP6" s="2"/>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row>
    <row r="7" ht="13.5" customHeight="1">
      <c r="A7" s="1"/>
      <c r="B7" s="1"/>
      <c r="C7" s="2"/>
      <c r="D7" s="2"/>
      <c r="E7" s="2"/>
      <c r="F7" s="2"/>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2"/>
      <c r="AP7" s="2"/>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row>
    <row r="8" ht="13.5" customHeight="1">
      <c r="A8" s="1"/>
      <c r="B8" s="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row>
    <row r="9" ht="13.5" customHeight="1">
      <c r="A9" s="1"/>
      <c r="B9" s="1"/>
      <c r="C9" s="2"/>
      <c r="D9" s="2"/>
      <c r="E9" s="2"/>
      <c r="F9" s="2"/>
      <c r="G9" s="2"/>
      <c r="H9" s="2"/>
      <c r="I9" s="2"/>
      <c r="J9" s="2"/>
      <c r="K9" s="2"/>
      <c r="L9" s="2"/>
      <c r="M9" s="2"/>
      <c r="N9" s="2"/>
      <c r="O9" s="2"/>
      <c r="P9" s="2"/>
      <c r="Q9" s="2"/>
      <c r="R9" s="2"/>
      <c r="S9" s="2"/>
      <c r="T9" s="2"/>
      <c r="U9" s="5"/>
      <c r="V9" s="5"/>
      <c r="W9" s="5"/>
      <c r="X9" s="5"/>
      <c r="Y9" s="5"/>
      <c r="Z9" s="2"/>
      <c r="AA9" s="2"/>
      <c r="AB9" s="2"/>
      <c r="AC9" s="2"/>
      <c r="AD9" s="2"/>
      <c r="AE9" s="2"/>
      <c r="AF9" s="2"/>
      <c r="AG9" s="2"/>
      <c r="AH9" s="2"/>
      <c r="AI9" s="2"/>
      <c r="AJ9" s="2"/>
      <c r="AK9" s="2"/>
      <c r="AL9" s="2"/>
      <c r="AM9" s="2"/>
      <c r="AN9" s="2"/>
      <c r="AO9" s="2"/>
      <c r="AP9" s="2"/>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row>
    <row r="10" ht="13.5" customHeight="1">
      <c r="A10" s="1"/>
      <c r="B10" s="1"/>
      <c r="C10" s="2"/>
      <c r="D10" s="2"/>
      <c r="E10" s="2"/>
      <c r="F10" s="2"/>
      <c r="G10" s="6"/>
      <c r="H10" s="7"/>
      <c r="I10" s="7"/>
      <c r="J10" s="7"/>
      <c r="K10" s="7"/>
      <c r="L10" s="7"/>
      <c r="M10" s="7"/>
      <c r="N10" s="7"/>
      <c r="O10" s="7"/>
      <c r="P10" s="7"/>
      <c r="Q10" s="7"/>
      <c r="R10" s="7"/>
      <c r="S10" s="7"/>
      <c r="T10" s="8"/>
      <c r="U10" s="9"/>
      <c r="V10" s="9"/>
      <c r="W10" s="9"/>
      <c r="X10" s="9"/>
      <c r="Y10" s="9"/>
      <c r="Z10" s="8"/>
      <c r="AA10" s="8"/>
      <c r="AB10" s="7"/>
      <c r="AC10" s="7"/>
      <c r="AD10" s="7"/>
      <c r="AE10" s="7"/>
      <c r="AF10" s="7"/>
      <c r="AG10" s="7"/>
      <c r="AH10" s="7"/>
      <c r="AI10" s="7"/>
      <c r="AJ10" s="7"/>
      <c r="AK10" s="7"/>
      <c r="AL10" s="7"/>
      <c r="AM10" s="7"/>
      <c r="AN10" s="10"/>
      <c r="AO10" s="2"/>
      <c r="AP10" s="2"/>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ht="13.5" customHeight="1">
      <c r="A11" s="1"/>
      <c r="B11" s="1"/>
      <c r="C11" s="2"/>
      <c r="D11" s="2"/>
      <c r="E11" s="2"/>
      <c r="F11" s="2"/>
      <c r="G11" s="11"/>
      <c r="H11" s="8"/>
      <c r="I11" s="8"/>
      <c r="J11" s="8"/>
      <c r="K11" s="9"/>
      <c r="L11" s="9"/>
      <c r="M11" s="9"/>
      <c r="N11" s="9"/>
      <c r="O11" s="9"/>
      <c r="P11" s="8"/>
      <c r="Q11" s="9"/>
      <c r="R11" s="9"/>
      <c r="S11" s="9"/>
      <c r="T11" s="8"/>
      <c r="U11" s="8"/>
      <c r="V11" s="8"/>
      <c r="W11" s="8"/>
      <c r="X11" s="9"/>
      <c r="Y11" s="9"/>
      <c r="Z11" s="9"/>
      <c r="AA11" s="9"/>
      <c r="AB11" s="9"/>
      <c r="AC11" s="8"/>
      <c r="AD11" s="9"/>
      <c r="AE11" s="9"/>
      <c r="AF11" s="9"/>
      <c r="AG11" s="9"/>
      <c r="AH11" s="9"/>
      <c r="AI11" s="9"/>
      <c r="AJ11" s="8"/>
      <c r="AK11" s="8"/>
      <c r="AL11" s="8"/>
      <c r="AM11" s="8"/>
      <c r="AN11" s="12"/>
      <c r="AO11" s="13">
        <v>8.0</v>
      </c>
      <c r="AP11" s="13">
        <v>240.0</v>
      </c>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ht="13.5" customHeight="1">
      <c r="A12" s="1"/>
      <c r="B12" s="1"/>
      <c r="C12" s="2"/>
      <c r="D12" s="2"/>
      <c r="E12" s="2"/>
      <c r="F12" s="2"/>
      <c r="G12" s="11"/>
      <c r="H12" s="14" t="s">
        <v>0</v>
      </c>
      <c r="I12" s="15"/>
      <c r="J12" s="15"/>
      <c r="K12" s="15"/>
      <c r="L12" s="15"/>
      <c r="M12" s="16"/>
      <c r="N12" s="17"/>
      <c r="O12" s="18">
        <v>30.0</v>
      </c>
      <c r="P12" s="19"/>
      <c r="Q12" s="20"/>
      <c r="R12" s="17"/>
      <c r="S12" s="14" t="s">
        <v>1</v>
      </c>
      <c r="T12" s="15"/>
      <c r="U12" s="15"/>
      <c r="V12" s="15"/>
      <c r="W12" s="15"/>
      <c r="X12" s="16"/>
      <c r="Y12" s="17"/>
      <c r="Z12" s="21">
        <v>200.0</v>
      </c>
      <c r="AA12" s="19"/>
      <c r="AB12" s="20"/>
      <c r="AC12" s="17"/>
      <c r="AD12" s="14" t="s">
        <v>2</v>
      </c>
      <c r="AE12" s="15"/>
      <c r="AF12" s="15"/>
      <c r="AG12" s="15"/>
      <c r="AH12" s="15"/>
      <c r="AI12" s="16"/>
      <c r="AJ12" s="17"/>
      <c r="AK12" s="21">
        <v>1181.17</v>
      </c>
      <c r="AL12" s="19"/>
      <c r="AM12" s="20"/>
      <c r="AN12" s="12"/>
      <c r="AO12" s="13">
        <v>12.0</v>
      </c>
      <c r="AP12" s="22"/>
      <c r="AQ12" s="2"/>
      <c r="AR12" s="2"/>
      <c r="AS12" s="23"/>
      <c r="AT12" s="23"/>
      <c r="AU12" s="5"/>
      <c r="AV12" s="5"/>
      <c r="AW12" s="5"/>
      <c r="AX12" s="5"/>
      <c r="AY12" s="5"/>
      <c r="AZ12" s="5"/>
      <c r="BA12" s="5"/>
      <c r="BB12" s="2"/>
      <c r="BC12" s="2"/>
      <c r="BD12" s="2"/>
      <c r="BE12" s="2"/>
      <c r="BF12" s="2"/>
      <c r="BG12" s="2"/>
      <c r="BH12" s="2"/>
      <c r="BI12" s="2"/>
      <c r="BJ12" s="2"/>
      <c r="BK12" s="2"/>
      <c r="BL12" s="2"/>
      <c r="BM12" s="2"/>
      <c r="BN12" s="2"/>
      <c r="BO12" s="2"/>
      <c r="BP12" s="2"/>
      <c r="BQ12" s="2"/>
      <c r="BR12" s="2"/>
      <c r="BS12" s="24"/>
    </row>
    <row r="13" ht="13.5" customHeight="1">
      <c r="A13" s="1"/>
      <c r="B13" s="1"/>
      <c r="C13" s="2"/>
      <c r="D13" s="2"/>
      <c r="E13" s="2"/>
      <c r="F13" s="2"/>
      <c r="G13" s="11"/>
      <c r="H13" s="17"/>
      <c r="I13" s="17"/>
      <c r="J13" s="17"/>
      <c r="K13" s="17"/>
      <c r="L13" s="17"/>
      <c r="M13" s="17"/>
      <c r="N13" s="17"/>
      <c r="O13" s="25"/>
      <c r="P13" s="25"/>
      <c r="Q13" s="25"/>
      <c r="R13" s="17"/>
      <c r="S13" s="17"/>
      <c r="T13" s="17"/>
      <c r="U13" s="17"/>
      <c r="V13" s="17"/>
      <c r="W13" s="17"/>
      <c r="X13" s="17"/>
      <c r="Y13" s="17"/>
      <c r="Z13" s="25"/>
      <c r="AA13" s="25"/>
      <c r="AB13" s="25"/>
      <c r="AC13" s="17"/>
      <c r="AD13" s="17"/>
      <c r="AE13" s="17"/>
      <c r="AF13" s="17"/>
      <c r="AG13" s="17"/>
      <c r="AH13" s="17"/>
      <c r="AI13" s="17"/>
      <c r="AJ13" s="17"/>
      <c r="AK13" s="25"/>
      <c r="AL13" s="25"/>
      <c r="AM13" s="25"/>
      <c r="AN13" s="12"/>
      <c r="AO13" s="13">
        <v>14.0</v>
      </c>
      <c r="AP13" s="22"/>
      <c r="AQ13" s="2"/>
      <c r="AR13" s="2"/>
      <c r="AS13" s="1"/>
      <c r="AT13" s="1"/>
      <c r="AU13" s="26" t="s">
        <v>3</v>
      </c>
      <c r="AV13" s="27"/>
      <c r="AW13" s="27"/>
      <c r="AX13" s="27"/>
      <c r="AY13" s="27"/>
      <c r="AZ13" s="27"/>
      <c r="BA13" s="27"/>
      <c r="BB13" s="27"/>
      <c r="BC13" s="27"/>
      <c r="BD13" s="27"/>
      <c r="BE13" s="27"/>
      <c r="BF13" s="27"/>
      <c r="BG13" s="28" t="s">
        <v>4</v>
      </c>
      <c r="BH13" s="27"/>
      <c r="BI13" s="27"/>
      <c r="BJ13" s="27"/>
      <c r="BK13" s="27"/>
      <c r="BL13" s="27"/>
      <c r="BM13" s="27"/>
      <c r="BN13" s="29"/>
      <c r="BO13" s="2"/>
      <c r="BP13" s="2"/>
      <c r="BQ13" s="2"/>
      <c r="BR13" s="2"/>
      <c r="BS13" s="24"/>
    </row>
    <row r="14" ht="13.5" customHeight="1">
      <c r="A14" s="1"/>
      <c r="B14" s="1"/>
      <c r="C14" s="2"/>
      <c r="D14" s="2"/>
      <c r="E14" s="2"/>
      <c r="F14" s="2"/>
      <c r="G14" s="11"/>
      <c r="H14" s="14" t="s">
        <v>5</v>
      </c>
      <c r="I14" s="15"/>
      <c r="J14" s="15"/>
      <c r="K14" s="15"/>
      <c r="L14" s="15"/>
      <c r="M14" s="16"/>
      <c r="N14" s="17"/>
      <c r="O14" s="18">
        <v>30.0</v>
      </c>
      <c r="P14" s="19"/>
      <c r="Q14" s="20"/>
      <c r="R14" s="17"/>
      <c r="S14" s="14" t="s">
        <v>6</v>
      </c>
      <c r="T14" s="15"/>
      <c r="U14" s="15"/>
      <c r="V14" s="15"/>
      <c r="W14" s="15"/>
      <c r="X14" s="16"/>
      <c r="Y14" s="17"/>
      <c r="Z14" s="18">
        <v>15.0</v>
      </c>
      <c r="AA14" s="19"/>
      <c r="AB14" s="20"/>
      <c r="AC14" s="17"/>
      <c r="AD14" s="14" t="s">
        <v>7</v>
      </c>
      <c r="AE14" s="15"/>
      <c r="AF14" s="15"/>
      <c r="AG14" s="15"/>
      <c r="AH14" s="15"/>
      <c r="AI14" s="16"/>
      <c r="AJ14" s="17"/>
      <c r="AK14" s="18">
        <v>0.0</v>
      </c>
      <c r="AL14" s="19"/>
      <c r="AM14" s="20"/>
      <c r="AN14" s="12"/>
      <c r="AO14" s="13">
        <v>16.0</v>
      </c>
      <c r="AP14" s="22"/>
      <c r="AQ14" s="2"/>
      <c r="AR14" s="2"/>
      <c r="AS14" s="1"/>
      <c r="AT14" s="1"/>
      <c r="AU14" s="30" t="s">
        <v>8</v>
      </c>
      <c r="AV14" s="31"/>
      <c r="AW14" s="31"/>
      <c r="AX14" s="32"/>
      <c r="AY14" s="33" t="s">
        <v>9</v>
      </c>
      <c r="AZ14" s="31"/>
      <c r="BA14" s="31"/>
      <c r="BB14" s="32"/>
      <c r="BC14" s="33" t="s">
        <v>10</v>
      </c>
      <c r="BD14" s="31"/>
      <c r="BE14" s="31"/>
      <c r="BF14" s="31"/>
      <c r="BG14" s="34" t="s">
        <v>11</v>
      </c>
      <c r="BJ14" s="35"/>
      <c r="BK14" s="33" t="s">
        <v>12</v>
      </c>
      <c r="BL14" s="31"/>
      <c r="BM14" s="31"/>
      <c r="BN14" s="36"/>
      <c r="BO14" s="2"/>
      <c r="BP14" s="2"/>
      <c r="BQ14" s="2"/>
      <c r="BR14" s="2"/>
      <c r="BS14" s="24"/>
    </row>
    <row r="15" ht="13.5" customHeight="1">
      <c r="A15" s="1"/>
      <c r="B15" s="1"/>
      <c r="C15" s="2"/>
      <c r="D15" s="2"/>
      <c r="E15" s="2"/>
      <c r="F15" s="2"/>
      <c r="G15" s="11"/>
      <c r="H15" s="17"/>
      <c r="I15" s="17"/>
      <c r="J15" s="17"/>
      <c r="K15" s="17"/>
      <c r="L15" s="17"/>
      <c r="M15" s="17"/>
      <c r="N15" s="17"/>
      <c r="O15" s="25"/>
      <c r="P15" s="25"/>
      <c r="Q15" s="25"/>
      <c r="R15" s="17"/>
      <c r="S15" s="17"/>
      <c r="T15" s="17"/>
      <c r="U15" s="17"/>
      <c r="V15" s="17"/>
      <c r="W15" s="17"/>
      <c r="X15" s="17"/>
      <c r="Y15" s="17"/>
      <c r="Z15" s="25"/>
      <c r="AA15" s="25"/>
      <c r="AB15" s="25"/>
      <c r="AC15" s="17"/>
      <c r="AD15" s="17"/>
      <c r="AE15" s="17"/>
      <c r="AF15" s="17"/>
      <c r="AG15" s="17"/>
      <c r="AH15" s="17"/>
      <c r="AI15" s="17"/>
      <c r="AJ15" s="17"/>
      <c r="AK15" s="25"/>
      <c r="AL15" s="25"/>
      <c r="AM15" s="25"/>
      <c r="AN15" s="12"/>
      <c r="AO15" s="13">
        <v>18.0</v>
      </c>
      <c r="AP15" s="22"/>
      <c r="AQ15" s="2"/>
      <c r="AR15" s="2"/>
      <c r="AS15" s="1"/>
      <c r="AT15" s="1"/>
      <c r="AU15" s="37" t="str">
        <f>N208</f>
        <v>2.55  m</v>
      </c>
      <c r="AV15" s="38"/>
      <c r="AW15" s="38"/>
      <c r="AX15" s="39"/>
      <c r="AY15" s="40" t="str">
        <f>R208</f>
        <v>2.35  m</v>
      </c>
      <c r="AZ15" s="38"/>
      <c r="BA15" s="38"/>
      <c r="BB15" s="39"/>
      <c r="BC15" s="40" t="str">
        <f>V208</f>
        <v>0.60  m</v>
      </c>
      <c r="BD15" s="38"/>
      <c r="BE15" s="38"/>
      <c r="BF15" s="38"/>
      <c r="BG15" s="41" t="str">
        <f>Z208</f>
        <v>10</v>
      </c>
      <c r="BH15" s="38"/>
      <c r="BI15" s="42" t="str">
        <f>AB208</f>
        <v>Ø20</v>
      </c>
      <c r="BJ15" s="39"/>
      <c r="BK15" s="43" t="str">
        <f>AD208</f>
        <v>11</v>
      </c>
      <c r="BL15" s="38"/>
      <c r="BM15" s="42" t="str">
        <f>AF208</f>
        <v>Ø20</v>
      </c>
      <c r="BN15" s="44"/>
      <c r="BO15" s="2"/>
      <c r="BP15" s="2"/>
      <c r="BQ15" s="2"/>
      <c r="BR15" s="2"/>
      <c r="BS15" s="24"/>
    </row>
    <row r="16" ht="21.0" customHeight="1">
      <c r="A16" s="1"/>
      <c r="B16" s="1"/>
      <c r="C16" s="2"/>
      <c r="D16" s="2"/>
      <c r="E16" s="2"/>
      <c r="F16" s="2"/>
      <c r="G16" s="11"/>
      <c r="H16" s="14" t="s">
        <v>13</v>
      </c>
      <c r="I16" s="15"/>
      <c r="J16" s="15"/>
      <c r="K16" s="15"/>
      <c r="L16" s="15"/>
      <c r="M16" s="16"/>
      <c r="N16" s="17"/>
      <c r="O16" s="18">
        <v>240.0</v>
      </c>
      <c r="P16" s="19"/>
      <c r="Q16" s="20"/>
      <c r="R16" s="17"/>
      <c r="S16" s="45" t="s">
        <v>14</v>
      </c>
      <c r="T16" s="46"/>
      <c r="U16" s="46"/>
      <c r="V16" s="46"/>
      <c r="W16" s="46"/>
      <c r="X16" s="47"/>
      <c r="Y16" s="17"/>
      <c r="Z16" s="18">
        <v>0.0</v>
      </c>
      <c r="AA16" s="19"/>
      <c r="AB16" s="20"/>
      <c r="AC16" s="17"/>
      <c r="AD16" s="45" t="s">
        <v>15</v>
      </c>
      <c r="AE16" s="46"/>
      <c r="AF16" s="46"/>
      <c r="AG16" s="46"/>
      <c r="AH16" s="46"/>
      <c r="AI16" s="47"/>
      <c r="AJ16" s="17"/>
      <c r="AK16" s="21">
        <v>0.4</v>
      </c>
      <c r="AL16" s="19"/>
      <c r="AM16" s="20"/>
      <c r="AN16" s="12"/>
      <c r="AO16" s="13">
        <v>20.0</v>
      </c>
      <c r="AP16" s="22"/>
      <c r="AQ16" s="2"/>
      <c r="AR16" s="2"/>
      <c r="AS16" s="23"/>
      <c r="AT16" s="23"/>
      <c r="AU16" s="5"/>
      <c r="AV16" s="5"/>
      <c r="AW16" s="5"/>
      <c r="AX16" s="5"/>
      <c r="AY16" s="5"/>
      <c r="AZ16" s="5"/>
      <c r="BA16" s="5"/>
      <c r="BB16" s="2"/>
      <c r="BC16" s="2"/>
      <c r="BD16" s="2"/>
      <c r="BE16" s="2"/>
      <c r="BF16" s="2"/>
      <c r="BG16" s="48" t="str">
        <f>BG15/AY15</f>
        <v>4.255319149</v>
      </c>
      <c r="BH16" s="2"/>
      <c r="BI16" s="2"/>
      <c r="BJ16" s="2"/>
      <c r="BK16" s="48"/>
      <c r="BL16" s="2" t="str">
        <f>BK15/AU15</f>
        <v>4.31372549</v>
      </c>
      <c r="BM16" s="2"/>
      <c r="BN16" s="2"/>
      <c r="BO16" s="2"/>
      <c r="BP16" s="2"/>
      <c r="BQ16" s="2"/>
      <c r="BR16" s="2"/>
      <c r="BS16" s="24"/>
    </row>
    <row r="17" ht="13.5" customHeight="1">
      <c r="A17" s="1"/>
      <c r="B17" s="1"/>
      <c r="C17" s="2"/>
      <c r="D17" s="2"/>
      <c r="E17" s="2"/>
      <c r="F17" s="2"/>
      <c r="G17" s="11"/>
      <c r="H17" s="17"/>
      <c r="I17" s="17"/>
      <c r="J17" s="17"/>
      <c r="K17" s="17"/>
      <c r="L17" s="17"/>
      <c r="M17" s="17"/>
      <c r="N17" s="17"/>
      <c r="O17" s="25"/>
      <c r="P17" s="25"/>
      <c r="Q17" s="25"/>
      <c r="R17" s="17"/>
      <c r="S17" s="17"/>
      <c r="T17" s="17"/>
      <c r="U17" s="17"/>
      <c r="V17" s="17"/>
      <c r="W17" s="17"/>
      <c r="X17" s="17"/>
      <c r="Y17" s="17"/>
      <c r="Z17" s="25"/>
      <c r="AA17" s="25"/>
      <c r="AB17" s="25"/>
      <c r="AC17" s="17"/>
      <c r="AD17" s="17"/>
      <c r="AE17" s="17"/>
      <c r="AF17" s="17"/>
      <c r="AG17" s="17"/>
      <c r="AH17" s="17"/>
      <c r="AI17" s="17"/>
      <c r="AJ17" s="17"/>
      <c r="AK17" s="25"/>
      <c r="AL17" s="25"/>
      <c r="AM17" s="25"/>
      <c r="AN17" s="12"/>
      <c r="AO17" s="13">
        <v>22.0</v>
      </c>
      <c r="AP17" s="22"/>
      <c r="AQ17" s="2" t="s">
        <v>16</v>
      </c>
      <c r="AR17" s="2"/>
      <c r="AS17" s="23"/>
      <c r="AT17" s="23"/>
      <c r="AU17" s="5"/>
      <c r="AV17" s="5"/>
      <c r="AW17" s="5"/>
      <c r="AX17" s="5"/>
      <c r="AY17" s="5"/>
      <c r="AZ17" s="5"/>
      <c r="BA17" s="5"/>
      <c r="BB17" s="2"/>
      <c r="BC17" s="2" t="str">
        <f t="shared" ref="BC17:BE17" si="1">IF(AND(#REF!="Unsafe",#REF!="Unsafe"),"Unsafe ………. Increase footing thickness","Safe")</f>
        <v>#REF!</v>
      </c>
      <c r="BD17" s="2" t="str">
        <f t="shared" si="1"/>
        <v>#REF!</v>
      </c>
      <c r="BE17" s="2" t="str">
        <f t="shared" si="1"/>
        <v>#REF!</v>
      </c>
      <c r="BF17" s="2"/>
      <c r="BG17" s="2"/>
      <c r="BH17" s="2"/>
      <c r="BI17" s="2"/>
      <c r="BJ17" s="2"/>
      <c r="BK17" s="1"/>
      <c r="BL17" s="2"/>
      <c r="BM17" s="2"/>
      <c r="BN17" s="2"/>
      <c r="BO17" s="2"/>
      <c r="BP17" s="2"/>
      <c r="BQ17" s="2"/>
      <c r="BR17" s="2"/>
      <c r="BS17" s="24"/>
    </row>
    <row r="18" ht="31.5" customHeight="1">
      <c r="A18" s="1"/>
      <c r="B18" s="1"/>
      <c r="C18" s="2"/>
      <c r="D18" s="2"/>
      <c r="E18" s="2"/>
      <c r="F18" s="2"/>
      <c r="G18" s="11"/>
      <c r="H18" s="14" t="s">
        <v>17</v>
      </c>
      <c r="I18" s="15"/>
      <c r="J18" s="15"/>
      <c r="K18" s="15"/>
      <c r="L18" s="15"/>
      <c r="M18" s="16"/>
      <c r="N18" s="17"/>
      <c r="O18" s="18">
        <v>70.0</v>
      </c>
      <c r="P18" s="19"/>
      <c r="Q18" s="20"/>
      <c r="R18" s="17"/>
      <c r="S18" s="14" t="s">
        <v>18</v>
      </c>
      <c r="T18" s="15"/>
      <c r="U18" s="15"/>
      <c r="V18" s="15"/>
      <c r="W18" s="15"/>
      <c r="X18" s="16"/>
      <c r="Y18" s="17"/>
      <c r="Z18" s="18">
        <v>600.0</v>
      </c>
      <c r="AA18" s="19"/>
      <c r="AB18" s="20"/>
      <c r="AC18" s="49"/>
      <c r="AD18" s="45" t="s">
        <v>19</v>
      </c>
      <c r="AE18" s="46"/>
      <c r="AF18" s="46"/>
      <c r="AG18" s="46"/>
      <c r="AH18" s="46"/>
      <c r="AI18" s="47"/>
      <c r="AJ18" s="17"/>
      <c r="AK18" s="21">
        <v>0.2</v>
      </c>
      <c r="AL18" s="19"/>
      <c r="AM18" s="20"/>
      <c r="AN18" s="12"/>
      <c r="AO18" s="13">
        <v>20.0</v>
      </c>
      <c r="AP18" s="22"/>
      <c r="AQ18" s="2" t="s">
        <v>20</v>
      </c>
      <c r="AR18" s="2"/>
      <c r="AS18" s="23"/>
      <c r="AT18" s="23"/>
      <c r="AU18" s="5"/>
      <c r="AV18" s="5"/>
      <c r="AW18" s="5"/>
      <c r="AX18" s="5"/>
      <c r="AY18" s="5"/>
      <c r="AZ18" s="5"/>
      <c r="BA18" s="5"/>
      <c r="BB18" s="2"/>
      <c r="BC18" s="2" t="str">
        <f>IF(#REF!="Unsafe","Unsafe ………. Increase footing thickness","Safe")</f>
        <v>#REF!</v>
      </c>
      <c r="BD18" s="2"/>
      <c r="BE18" s="2"/>
      <c r="BF18" s="2"/>
      <c r="BG18" s="2"/>
      <c r="BH18" s="2"/>
      <c r="BI18" s="2"/>
      <c r="BJ18" s="2"/>
      <c r="BK18" s="2"/>
      <c r="BL18" s="2"/>
      <c r="BM18" s="2"/>
      <c r="BN18" s="2"/>
      <c r="BO18" s="2"/>
      <c r="BP18" s="2"/>
      <c r="BQ18" s="2"/>
      <c r="BR18" s="2"/>
      <c r="BS18" s="24"/>
    </row>
    <row r="19" ht="30.0" customHeight="1">
      <c r="A19" s="1"/>
      <c r="B19" s="1"/>
      <c r="C19" s="2"/>
      <c r="D19" s="2"/>
      <c r="E19" s="2"/>
      <c r="F19" s="2"/>
      <c r="G19" s="11"/>
      <c r="H19" s="17"/>
      <c r="I19" s="17"/>
      <c r="J19" s="17"/>
      <c r="K19" s="17"/>
      <c r="L19" s="17"/>
      <c r="M19" s="17"/>
      <c r="N19" s="17"/>
      <c r="O19" s="25"/>
      <c r="P19" s="25"/>
      <c r="Q19" s="25"/>
      <c r="R19" s="17"/>
      <c r="S19" s="17"/>
      <c r="T19" s="17"/>
      <c r="U19" s="17"/>
      <c r="V19" s="17"/>
      <c r="W19" s="17"/>
      <c r="X19" s="17"/>
      <c r="Y19" s="17"/>
      <c r="Z19" s="25"/>
      <c r="AA19" s="25"/>
      <c r="AB19" s="25"/>
      <c r="AC19" s="17"/>
      <c r="AD19" s="17"/>
      <c r="AE19" s="17"/>
      <c r="AF19" s="17"/>
      <c r="AG19" s="17"/>
      <c r="AH19" s="17"/>
      <c r="AI19" s="17"/>
      <c r="AJ19" s="17"/>
      <c r="AK19" s="25"/>
      <c r="AL19" s="25"/>
      <c r="AM19" s="25"/>
      <c r="AN19" s="12"/>
      <c r="AO19" s="13">
        <v>22.0</v>
      </c>
      <c r="AP19" s="22"/>
      <c r="AQ19" s="2" t="s">
        <v>21</v>
      </c>
      <c r="AR19" s="2"/>
      <c r="AS19" s="23"/>
      <c r="AT19" s="23"/>
      <c r="AU19" s="5"/>
      <c r="AV19" s="5"/>
      <c r="AW19" s="5"/>
      <c r="AX19" s="5"/>
      <c r="AY19" s="5"/>
      <c r="AZ19" s="5"/>
      <c r="BA19" s="5"/>
      <c r="BB19" s="2"/>
      <c r="BC19" s="1" t="str">
        <f>IF(AND(#REF!="»» reinforcement can be fully developed",#REF!="»» reinforcement can be fully developed"),"Safe","Unsafe")</f>
        <v>#REF!</v>
      </c>
      <c r="BD19" s="2"/>
      <c r="BE19" s="2"/>
      <c r="BF19" s="2"/>
      <c r="BG19" s="2"/>
      <c r="BH19" s="2"/>
      <c r="BI19" s="2"/>
      <c r="BJ19" s="2"/>
      <c r="BK19" s="2"/>
      <c r="BL19" s="2"/>
      <c r="BM19" s="2"/>
      <c r="BN19" s="2"/>
      <c r="BO19" s="2"/>
      <c r="BP19" s="2"/>
      <c r="BQ19" s="2"/>
      <c r="BR19" s="2"/>
      <c r="BS19" s="24"/>
    </row>
    <row r="20" ht="19.5" customHeight="1">
      <c r="A20" s="1"/>
      <c r="B20" s="1"/>
      <c r="C20" s="2"/>
      <c r="D20" s="2"/>
      <c r="E20" s="2"/>
      <c r="F20" s="2"/>
      <c r="G20" s="11"/>
      <c r="H20" s="14" t="s">
        <v>22</v>
      </c>
      <c r="I20" s="15"/>
      <c r="J20" s="15"/>
      <c r="K20" s="15"/>
      <c r="L20" s="15"/>
      <c r="M20" s="16"/>
      <c r="N20" s="17"/>
      <c r="O20" s="50">
        <v>20.0</v>
      </c>
      <c r="P20" s="19"/>
      <c r="Q20" s="20"/>
      <c r="R20" s="17"/>
      <c r="S20" s="17"/>
      <c r="T20" s="17"/>
      <c r="U20" s="17"/>
      <c r="V20" s="17"/>
      <c r="W20" s="17"/>
      <c r="X20" s="17"/>
      <c r="Y20" s="17"/>
      <c r="Z20" s="25"/>
      <c r="AA20" s="25"/>
      <c r="AB20" s="25"/>
      <c r="AC20" s="17"/>
      <c r="AD20" s="14" t="s">
        <v>23</v>
      </c>
      <c r="AE20" s="15"/>
      <c r="AF20" s="15"/>
      <c r="AG20" s="15"/>
      <c r="AH20" s="15"/>
      <c r="AI20" s="16"/>
      <c r="AJ20" s="17"/>
      <c r="AK20" s="51">
        <v>16.0</v>
      </c>
      <c r="AL20" s="19"/>
      <c r="AM20" s="20"/>
      <c r="AN20" s="12"/>
      <c r="AO20" s="13">
        <v>25.0</v>
      </c>
      <c r="AP20" s="22"/>
      <c r="AQ20" s="2" t="s">
        <v>24</v>
      </c>
      <c r="AR20" s="2"/>
      <c r="AS20" s="23"/>
      <c r="AT20" s="23"/>
      <c r="AU20" s="5"/>
      <c r="AV20" s="5"/>
      <c r="AW20" s="5"/>
      <c r="AX20" s="5"/>
      <c r="AY20" s="5"/>
      <c r="AZ20" s="5"/>
      <c r="BA20" s="5"/>
      <c r="BB20" s="2"/>
      <c r="BC20" s="2" t="str">
        <f>IF(#REF!="Unsafe","Unsafe ………. Increase footing thickness","Safe")</f>
        <v>#REF!</v>
      </c>
      <c r="BD20" s="2"/>
      <c r="BE20" s="2"/>
      <c r="BF20" s="2"/>
      <c r="BG20" s="2"/>
      <c r="BH20" s="2"/>
      <c r="BI20" s="2"/>
      <c r="BJ20" s="2"/>
      <c r="BK20" s="2"/>
      <c r="BL20" s="2"/>
      <c r="BM20" s="2"/>
      <c r="BN20" s="2"/>
      <c r="BO20" s="2"/>
      <c r="BP20" s="2"/>
      <c r="BQ20" s="2"/>
      <c r="BR20" s="2"/>
      <c r="BS20" s="24"/>
    </row>
    <row r="21" ht="13.5" customHeight="1">
      <c r="A21" s="1"/>
      <c r="B21" s="1"/>
      <c r="C21" s="2"/>
      <c r="D21" s="2"/>
      <c r="E21" s="2"/>
      <c r="F21" s="2"/>
      <c r="G21" s="11"/>
      <c r="H21" s="17"/>
      <c r="I21" s="17"/>
      <c r="J21" s="17"/>
      <c r="K21" s="17"/>
      <c r="L21" s="17"/>
      <c r="M21" s="17"/>
      <c r="N21" s="17"/>
      <c r="O21" s="25"/>
      <c r="P21" s="25"/>
      <c r="Q21" s="25"/>
      <c r="R21" s="17"/>
      <c r="S21" s="17"/>
      <c r="T21" s="17"/>
      <c r="U21" s="17"/>
      <c r="V21" s="17"/>
      <c r="W21" s="17"/>
      <c r="X21" s="17"/>
      <c r="Y21" s="17"/>
      <c r="Z21" s="25"/>
      <c r="AA21" s="25"/>
      <c r="AB21" s="25"/>
      <c r="AC21" s="17"/>
      <c r="AD21" s="17"/>
      <c r="AE21" s="17"/>
      <c r="AF21" s="17"/>
      <c r="AG21" s="17"/>
      <c r="AH21" s="17"/>
      <c r="AI21" s="17"/>
      <c r="AJ21" s="17"/>
      <c r="AK21" s="25"/>
      <c r="AL21" s="25"/>
      <c r="AM21" s="25"/>
      <c r="AN21" s="12"/>
      <c r="AO21" s="13">
        <v>28.0</v>
      </c>
      <c r="AP21" s="52"/>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4"/>
    </row>
    <row r="22" ht="13.5" customHeight="1">
      <c r="A22" s="1"/>
      <c r="B22" s="1"/>
      <c r="C22" s="2"/>
      <c r="D22" s="2"/>
      <c r="E22" s="2"/>
      <c r="F22" s="2"/>
      <c r="G22" s="11"/>
      <c r="H22" s="14" t="s">
        <v>25</v>
      </c>
      <c r="I22" s="15"/>
      <c r="J22" s="15"/>
      <c r="K22" s="15"/>
      <c r="L22" s="15"/>
      <c r="M22" s="16"/>
      <c r="N22" s="17"/>
      <c r="O22" s="50">
        <v>20.0</v>
      </c>
      <c r="P22" s="19"/>
      <c r="Q22" s="20"/>
      <c r="R22" s="17"/>
      <c r="S22" s="17"/>
      <c r="T22" s="17"/>
      <c r="U22" s="17"/>
      <c r="V22" s="17"/>
      <c r="W22" s="17"/>
      <c r="X22" s="17"/>
      <c r="Y22" s="17"/>
      <c r="Z22" s="25"/>
      <c r="AA22" s="25"/>
      <c r="AB22" s="25"/>
      <c r="AC22" s="17"/>
      <c r="AD22" s="14" t="s">
        <v>26</v>
      </c>
      <c r="AE22" s="15"/>
      <c r="AF22" s="15"/>
      <c r="AG22" s="15"/>
      <c r="AH22" s="15"/>
      <c r="AI22" s="16"/>
      <c r="AJ22" s="17"/>
      <c r="AK22" s="51">
        <v>16.0</v>
      </c>
      <c r="AL22" s="19"/>
      <c r="AM22" s="20"/>
      <c r="AN22" s="12"/>
      <c r="AO22" s="1"/>
      <c r="AP22" s="2"/>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row>
    <row r="23" ht="13.5" customHeight="1">
      <c r="A23" s="1"/>
      <c r="B23" s="1"/>
      <c r="C23" s="2"/>
      <c r="D23" s="2"/>
      <c r="E23" s="2"/>
      <c r="F23" s="2"/>
      <c r="G23" s="55"/>
      <c r="H23" s="56"/>
      <c r="I23" s="56"/>
      <c r="J23" s="56"/>
      <c r="K23" s="56"/>
      <c r="L23" s="56"/>
      <c r="M23" s="56"/>
      <c r="N23" s="56"/>
      <c r="O23" s="56"/>
      <c r="P23" s="56"/>
      <c r="Q23" s="56"/>
      <c r="R23" s="56"/>
      <c r="S23" s="56"/>
      <c r="T23" s="17"/>
      <c r="U23" s="57"/>
      <c r="V23" s="57"/>
      <c r="W23" s="57"/>
      <c r="X23" s="57"/>
      <c r="Y23" s="57"/>
      <c r="Z23" s="17"/>
      <c r="AA23" s="17"/>
      <c r="AB23" s="56"/>
      <c r="AC23" s="56"/>
      <c r="AD23" s="56"/>
      <c r="AE23" s="56"/>
      <c r="AF23" s="56"/>
      <c r="AG23" s="56"/>
      <c r="AH23" s="56"/>
      <c r="AI23" s="56"/>
      <c r="AJ23" s="56"/>
      <c r="AK23" s="56"/>
      <c r="AL23" s="56"/>
      <c r="AM23" s="56"/>
      <c r="AN23" s="58"/>
      <c r="AO23" s="2"/>
      <c r="AP23" s="2"/>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row>
    <row r="24" ht="13.5" customHeight="1">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1"/>
      <c r="AP24" s="2"/>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row>
    <row r="25" ht="13.5" customHeight="1">
      <c r="A25" s="1"/>
      <c r="B25" s="1"/>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1"/>
      <c r="AP25" s="2"/>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row>
    <row r="27" ht="13.5" customHeight="1">
      <c r="A27" s="1"/>
      <c r="B27" s="1"/>
      <c r="C27" s="1"/>
      <c r="D27" s="1"/>
      <c r="E27" s="1"/>
      <c r="F27" s="1"/>
      <c r="G27" s="1"/>
      <c r="H27" s="1"/>
      <c r="I27" s="59"/>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row>
    <row r="28" ht="13.5" customHeight="1">
      <c r="A28" s="1"/>
      <c r="B28" s="1"/>
      <c r="C28" s="1"/>
      <c r="D28" s="1"/>
      <c r="E28" s="1"/>
      <c r="F28" s="1"/>
      <c r="G28" s="1"/>
      <c r="H28" s="1"/>
      <c r="I28" s="22"/>
      <c r="J28" s="62" t="s">
        <v>27</v>
      </c>
      <c r="K28" s="63"/>
      <c r="L28" s="63"/>
      <c r="M28" s="64"/>
      <c r="N28" s="65"/>
      <c r="O28" s="65"/>
      <c r="P28" s="65"/>
      <c r="Q28" s="65"/>
      <c r="R28" s="65"/>
      <c r="S28" s="65"/>
      <c r="T28" s="65"/>
      <c r="U28" s="65"/>
      <c r="V28" s="65"/>
      <c r="W28" s="65"/>
      <c r="X28" s="65"/>
      <c r="Y28" s="65"/>
      <c r="Z28" s="65"/>
      <c r="AA28" s="65"/>
      <c r="AB28" s="65"/>
      <c r="AC28" s="65"/>
      <c r="AD28" s="62" t="s">
        <v>28</v>
      </c>
      <c r="AE28" s="63"/>
      <c r="AF28" s="63"/>
      <c r="AG28" s="64"/>
      <c r="AH28" s="66" t="str">
        <f>TODAY()</f>
        <v>28-Jun-2026</v>
      </c>
      <c r="AI28" s="63"/>
      <c r="AJ28" s="63"/>
      <c r="AK28" s="64"/>
      <c r="AL28" s="24"/>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row>
    <row r="29" ht="13.5" customHeight="1">
      <c r="A29" s="1"/>
      <c r="B29" s="1"/>
      <c r="C29" s="1"/>
      <c r="D29" s="1"/>
      <c r="E29" s="1"/>
      <c r="F29" s="1"/>
      <c r="G29" s="1"/>
      <c r="H29" s="1"/>
      <c r="I29" s="22"/>
      <c r="J29" s="62" t="s">
        <v>29</v>
      </c>
      <c r="K29" s="63"/>
      <c r="L29" s="63"/>
      <c r="M29" s="64"/>
      <c r="N29" s="65"/>
      <c r="O29" s="65"/>
      <c r="P29" s="65"/>
      <c r="Q29" s="65"/>
      <c r="R29" s="65"/>
      <c r="S29" s="65"/>
      <c r="T29" s="65"/>
      <c r="U29" s="65"/>
      <c r="V29" s="65"/>
      <c r="W29" s="65"/>
      <c r="X29" s="65"/>
      <c r="Y29" s="65"/>
      <c r="Z29" s="65"/>
      <c r="AA29" s="65"/>
      <c r="AB29" s="65"/>
      <c r="AC29" s="65"/>
      <c r="AD29" s="62" t="s">
        <v>30</v>
      </c>
      <c r="AE29" s="63"/>
      <c r="AF29" s="63"/>
      <c r="AG29" s="64"/>
      <c r="AH29" s="67" t="s">
        <v>31</v>
      </c>
      <c r="AI29" s="63"/>
      <c r="AJ29" s="63"/>
      <c r="AK29" s="64"/>
      <c r="AL29" s="24"/>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row>
    <row r="30" ht="13.5" customHeight="1">
      <c r="A30" s="1"/>
      <c r="B30" s="1"/>
      <c r="C30" s="1"/>
      <c r="D30" s="1"/>
      <c r="E30" s="1"/>
      <c r="F30" s="1"/>
      <c r="G30" s="1"/>
      <c r="H30" s="1"/>
      <c r="I30" s="22"/>
      <c r="J30" s="2"/>
      <c r="K30" s="2"/>
      <c r="L30" s="2"/>
      <c r="M30" s="2"/>
      <c r="N30" s="2"/>
      <c r="O30" s="2"/>
      <c r="P30" s="2"/>
      <c r="Q30" s="2"/>
      <c r="R30" s="2"/>
      <c r="S30" s="2"/>
      <c r="T30" s="2"/>
      <c r="U30" s="68" t="s">
        <v>32</v>
      </c>
      <c r="AA30" s="2"/>
      <c r="AB30" s="2"/>
      <c r="AC30" s="2"/>
      <c r="AD30" s="2"/>
      <c r="AE30" s="2"/>
      <c r="AF30" s="2"/>
      <c r="AG30" s="2"/>
      <c r="AH30" s="2"/>
      <c r="AI30" s="2"/>
      <c r="AJ30" s="2"/>
      <c r="AK30" s="2"/>
      <c r="AL30" s="24"/>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row>
    <row r="31" ht="13.5" customHeight="1">
      <c r="A31" s="1"/>
      <c r="B31" s="1"/>
      <c r="C31" s="1"/>
      <c r="D31" s="1"/>
      <c r="E31" s="1"/>
      <c r="F31" s="1"/>
      <c r="G31" s="1"/>
      <c r="H31" s="1"/>
      <c r="I31" s="59"/>
      <c r="J31" s="60"/>
      <c r="K31" s="60"/>
      <c r="L31" s="60"/>
      <c r="M31" s="60"/>
      <c r="N31" s="60"/>
      <c r="O31" s="60"/>
      <c r="P31" s="60"/>
      <c r="Q31" s="60"/>
      <c r="R31" s="60"/>
      <c r="S31" s="60"/>
      <c r="T31" s="60"/>
      <c r="AA31" s="60"/>
      <c r="AB31" s="60"/>
      <c r="AC31" s="60"/>
      <c r="AD31" s="60"/>
      <c r="AE31" s="60"/>
      <c r="AF31" s="60"/>
      <c r="AG31" s="60"/>
      <c r="AH31" s="60"/>
      <c r="AI31" s="60"/>
      <c r="AJ31" s="60"/>
      <c r="AK31" s="60"/>
      <c r="AL31" s="6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row>
    <row r="32" ht="13.5" customHeight="1">
      <c r="A32" s="1"/>
      <c r="B32" s="1"/>
      <c r="C32" s="1"/>
      <c r="D32" s="1"/>
      <c r="E32" s="1"/>
      <c r="F32" s="1"/>
      <c r="G32" s="1"/>
      <c r="H32" s="1"/>
      <c r="I32" s="22"/>
      <c r="J32" s="69" t="s">
        <v>33</v>
      </c>
      <c r="K32" s="69"/>
      <c r="L32" s="69"/>
      <c r="M32" s="69"/>
      <c r="N32" s="69"/>
      <c r="O32" s="69"/>
      <c r="P32" s="69"/>
      <c r="Q32" s="69"/>
      <c r="R32" s="69"/>
      <c r="S32" s="69"/>
      <c r="T32" s="69" t="s">
        <v>34</v>
      </c>
      <c r="U32" s="69"/>
      <c r="V32" s="69"/>
      <c r="W32" s="69"/>
      <c r="X32" s="69"/>
      <c r="Y32" s="69"/>
      <c r="Z32" s="69"/>
      <c r="AA32" s="69"/>
      <c r="AB32" s="69"/>
      <c r="AC32" s="69"/>
      <c r="AD32" s="69" t="s">
        <v>35</v>
      </c>
      <c r="AE32" s="69"/>
      <c r="AF32" s="69"/>
      <c r="AG32" s="69"/>
      <c r="AH32" s="69"/>
      <c r="AI32" s="69"/>
      <c r="AJ32" s="2"/>
      <c r="AK32" s="2"/>
      <c r="AL32" s="24"/>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row>
    <row r="33" ht="4.5" customHeight="1">
      <c r="A33" s="1"/>
      <c r="B33" s="1"/>
      <c r="C33" s="1"/>
      <c r="D33" s="1"/>
      <c r="E33" s="1"/>
      <c r="F33" s="1"/>
      <c r="G33" s="1"/>
      <c r="H33" s="1"/>
      <c r="I33" s="2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4"/>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row>
    <row r="34" ht="13.5" customHeight="1">
      <c r="A34" s="1"/>
      <c r="B34" s="1"/>
      <c r="C34" s="1"/>
      <c r="D34" s="1"/>
      <c r="E34" s="1"/>
      <c r="F34" s="1"/>
      <c r="G34" s="1"/>
      <c r="H34" s="1"/>
      <c r="I34" s="22"/>
      <c r="J34" s="70" t="str">
        <f>O12</f>
        <v>Fcu footing = 30 Mpa</v>
      </c>
      <c r="Q34" s="2"/>
      <c r="R34" s="2"/>
      <c r="S34" s="2"/>
      <c r="T34" s="71" t="str">
        <f>AK12</f>
        <v>D.L. = 1181.17 KN</v>
      </c>
      <c r="Z34" s="2"/>
      <c r="AA34" s="2"/>
      <c r="AB34" s="2"/>
      <c r="AC34" s="2"/>
      <c r="AD34" s="72" t="str">
        <f>Z12</f>
        <v>qall = 200.0 KN/m²</v>
      </c>
      <c r="AJ34" s="2"/>
      <c r="AK34" s="2"/>
      <c r="AL34" s="24"/>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row>
    <row r="35" ht="13.5" customHeight="1">
      <c r="A35" s="1"/>
      <c r="B35" s="1"/>
      <c r="C35" s="1"/>
      <c r="D35" s="1"/>
      <c r="E35" s="1"/>
      <c r="F35" s="1"/>
      <c r="G35" s="1"/>
      <c r="H35" s="1"/>
      <c r="I35" s="22"/>
      <c r="J35" s="73" t="str">
        <f>O14</f>
        <v>Fcu column = 30 Mpa</v>
      </c>
      <c r="Q35" s="2"/>
      <c r="R35" s="2"/>
      <c r="S35" s="2"/>
      <c r="T35" s="74" t="str">
        <f>AK14</f>
        <v>L.L. = 0.00 KN</v>
      </c>
      <c r="Z35" s="2"/>
      <c r="AA35" s="2"/>
      <c r="AB35" s="2"/>
      <c r="AC35" s="2"/>
      <c r="AD35" s="75" t="str">
        <f>Z14</f>
        <v>γs = 15.0 KN/m³</v>
      </c>
      <c r="AJ35" s="2"/>
      <c r="AK35" s="2"/>
      <c r="AL35" s="24"/>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row>
    <row r="36" ht="13.5" customHeight="1">
      <c r="A36" s="1"/>
      <c r="B36" s="1"/>
      <c r="C36" s="1"/>
      <c r="D36" s="1"/>
      <c r="E36" s="1"/>
      <c r="F36" s="1"/>
      <c r="G36" s="1"/>
      <c r="H36" s="1"/>
      <c r="I36" s="22"/>
      <c r="J36" s="76" t="str">
        <f>280</f>
        <v>Fy = 280 Mpa</v>
      </c>
      <c r="Q36" s="2"/>
      <c r="R36" s="2"/>
      <c r="S36" s="2"/>
      <c r="T36" s="77" t="str">
        <f>AK16</f>
        <v>a =  0.40 m</v>
      </c>
      <c r="Z36" s="2"/>
      <c r="AA36" s="2"/>
      <c r="AB36" s="2"/>
      <c r="AC36" s="2"/>
      <c r="AD36" s="78" t="str">
        <f>Z16</f>
        <v>Df = 0.00 m</v>
      </c>
      <c r="AJ36" s="2"/>
      <c r="AK36" s="2"/>
      <c r="AL36" s="24"/>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row>
    <row r="37" ht="13.5" customHeight="1">
      <c r="A37" s="1"/>
      <c r="B37" s="1"/>
      <c r="C37" s="1"/>
      <c r="D37" s="1"/>
      <c r="E37" s="1"/>
      <c r="F37" s="1"/>
      <c r="G37" s="1"/>
      <c r="H37" s="1"/>
      <c r="I37" s="22"/>
      <c r="J37" s="79" t="str">
        <f>O18</f>
        <v>Cc = 70 mm</v>
      </c>
      <c r="Q37" s="2"/>
      <c r="R37" s="2"/>
      <c r="S37" s="2"/>
      <c r="T37" s="80" t="str">
        <f>AK18</f>
        <v>b =  0.20 m</v>
      </c>
      <c r="Z37" s="2"/>
      <c r="AA37" s="2"/>
      <c r="AB37" s="2"/>
      <c r="AC37" s="2"/>
      <c r="AD37" s="81" t="str">
        <f>Z18</f>
        <v>h = 600 mm</v>
      </c>
      <c r="AJ37" s="2"/>
      <c r="AK37" s="2"/>
      <c r="AL37" s="24"/>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row>
    <row r="38" ht="15.0" customHeight="1">
      <c r="A38" s="1"/>
      <c r="B38" s="1"/>
      <c r="C38" s="1"/>
      <c r="D38" s="1"/>
      <c r="E38" s="1"/>
      <c r="F38" s="1"/>
      <c r="G38" s="1"/>
      <c r="H38" s="1"/>
      <c r="I38" s="52"/>
      <c r="J38" s="53"/>
      <c r="K38" s="53"/>
      <c r="L38" s="23"/>
      <c r="M38" s="23"/>
      <c r="N38" s="23"/>
      <c r="O38" s="23"/>
      <c r="P38" s="23"/>
      <c r="Q38" s="23"/>
      <c r="R38" s="23"/>
      <c r="S38" s="23"/>
      <c r="T38" s="23"/>
      <c r="U38" s="68" t="s">
        <v>36</v>
      </c>
      <c r="AA38" s="2"/>
      <c r="AB38" s="2"/>
      <c r="AC38" s="2"/>
      <c r="AD38" s="2"/>
      <c r="AE38" s="2"/>
      <c r="AF38" s="23"/>
      <c r="AG38" s="23"/>
      <c r="AH38" s="23"/>
      <c r="AI38" s="23"/>
      <c r="AJ38" s="53"/>
      <c r="AK38" s="53"/>
      <c r="AL38" s="54"/>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row>
    <row r="39" ht="14.25" customHeight="1">
      <c r="A39" s="1"/>
      <c r="B39" s="1"/>
      <c r="C39" s="1"/>
      <c r="D39" s="1"/>
      <c r="E39" s="1"/>
      <c r="F39" s="1"/>
      <c r="G39" s="1"/>
      <c r="H39" s="1"/>
      <c r="I39" s="22"/>
      <c r="J39" s="2"/>
      <c r="K39" s="2"/>
      <c r="L39" s="82"/>
      <c r="M39" s="82"/>
      <c r="N39" s="82"/>
      <c r="O39" s="82"/>
      <c r="P39" s="82"/>
      <c r="Q39" s="82"/>
      <c r="R39" s="82"/>
      <c r="S39" s="82"/>
      <c r="T39" s="82"/>
      <c r="AA39" s="60"/>
      <c r="AB39" s="60"/>
      <c r="AC39" s="60"/>
      <c r="AD39" s="60"/>
      <c r="AE39" s="60"/>
      <c r="AF39" s="82"/>
      <c r="AG39" s="82"/>
      <c r="AH39" s="82"/>
      <c r="AI39" s="82"/>
      <c r="AJ39" s="2"/>
      <c r="AK39" s="2"/>
      <c r="AL39" s="24"/>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row>
    <row r="40" ht="13.5" customHeight="1">
      <c r="A40" s="1"/>
      <c r="B40" s="1"/>
      <c r="C40" s="1"/>
      <c r="D40" s="1"/>
      <c r="E40" s="1"/>
      <c r="F40" s="1"/>
      <c r="G40" s="1"/>
      <c r="H40" s="1"/>
      <c r="I40" s="22"/>
      <c r="J40" s="83" t="s">
        <v>37</v>
      </c>
      <c r="K40" s="84"/>
      <c r="L40" s="84"/>
      <c r="M40" s="84"/>
      <c r="N40" s="84"/>
      <c r="O40" s="84"/>
      <c r="P40" s="84"/>
      <c r="Q40" s="84"/>
      <c r="R40" s="84"/>
      <c r="S40" s="84"/>
      <c r="T40" s="84"/>
      <c r="U40" s="84"/>
      <c r="V40" s="2"/>
      <c r="W40" s="2"/>
      <c r="X40" s="2"/>
      <c r="Y40" s="2"/>
      <c r="Z40" s="2"/>
      <c r="AA40" s="2"/>
      <c r="AB40" s="2"/>
      <c r="AC40" s="2"/>
      <c r="AD40" s="2"/>
      <c r="AE40" s="2"/>
      <c r="AF40" s="2"/>
      <c r="AG40" s="2"/>
      <c r="AH40" s="2"/>
      <c r="AI40" s="2"/>
      <c r="AJ40" s="2"/>
      <c r="AK40" s="2"/>
      <c r="AL40" s="24"/>
      <c r="AM40" s="1"/>
      <c r="AN40" s="1"/>
      <c r="AO40" s="2"/>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row>
    <row r="41" ht="4.5" customHeight="1">
      <c r="A41" s="1"/>
      <c r="B41" s="1"/>
      <c r="C41" s="1"/>
      <c r="D41" s="1"/>
      <c r="E41" s="1"/>
      <c r="F41" s="1"/>
      <c r="G41" s="1"/>
      <c r="H41" s="1"/>
      <c r="I41" s="2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4"/>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row>
    <row r="42" ht="15.75" customHeight="1">
      <c r="A42" s="1"/>
      <c r="B42" s="1"/>
      <c r="C42" s="1"/>
      <c r="D42" s="1"/>
      <c r="E42" s="1"/>
      <c r="F42" s="1"/>
      <c r="G42" s="1"/>
      <c r="H42" s="1"/>
      <c r="I42" s="34"/>
      <c r="J42" s="5"/>
      <c r="K42" s="23" t="s">
        <v>38</v>
      </c>
      <c r="L42" s="5"/>
      <c r="M42" s="2"/>
      <c r="N42" s="2"/>
      <c r="O42" s="2"/>
      <c r="P42" s="2"/>
      <c r="Q42" s="85" t="str">
        <f>T34+T35</f>
        <v>1181.2 KN</v>
      </c>
      <c r="V42" s="2"/>
      <c r="W42" s="2"/>
      <c r="X42" s="2"/>
      <c r="Y42" s="2"/>
      <c r="Z42" s="2"/>
      <c r="AA42" s="2"/>
      <c r="AB42" s="5"/>
      <c r="AC42" s="5"/>
      <c r="AD42" s="5"/>
      <c r="AE42" s="5"/>
      <c r="AF42" s="5"/>
      <c r="AG42" s="5"/>
      <c r="AH42" s="5"/>
      <c r="AI42" s="5"/>
      <c r="AJ42" s="5"/>
      <c r="AK42" s="5"/>
      <c r="AL42" s="86"/>
      <c r="AM42" s="1"/>
      <c r="AN42" s="2"/>
      <c r="AO42" s="1"/>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row>
    <row r="43" ht="15.75" customHeight="1">
      <c r="A43" s="1"/>
      <c r="B43" s="1"/>
      <c r="C43" s="1"/>
      <c r="D43" s="1"/>
      <c r="E43" s="1"/>
      <c r="F43" s="1"/>
      <c r="G43" s="1"/>
      <c r="H43" s="1"/>
      <c r="I43" s="34"/>
      <c r="J43" s="5"/>
      <c r="K43" s="23" t="s">
        <v>39</v>
      </c>
      <c r="L43" s="5"/>
      <c r="M43" s="85"/>
      <c r="N43" s="85"/>
      <c r="O43" s="85"/>
      <c r="P43" s="85"/>
      <c r="Q43" s="87" t="str">
        <f>(25+AD35)/2</f>
        <v>20.0 KN/m³</v>
      </c>
      <c r="V43" s="5"/>
      <c r="W43" s="5"/>
      <c r="X43" s="5"/>
      <c r="Y43" s="5"/>
      <c r="Z43" s="5"/>
      <c r="AA43" s="5"/>
      <c r="AB43" s="5"/>
      <c r="AC43" s="5"/>
      <c r="AD43" s="5"/>
      <c r="AE43" s="5"/>
      <c r="AF43" s="5"/>
      <c r="AG43" s="5"/>
      <c r="AH43" s="5"/>
      <c r="AI43" s="5"/>
      <c r="AJ43" s="5"/>
      <c r="AK43" s="5"/>
      <c r="AL43" s="86"/>
      <c r="AM43" s="1"/>
      <c r="AN43" s="1"/>
      <c r="AO43" s="88"/>
      <c r="AP43" s="1"/>
      <c r="AQ43" s="1"/>
      <c r="AR43" s="1"/>
      <c r="AS43" s="1"/>
      <c r="AT43" s="1"/>
      <c r="AU43" s="1"/>
      <c r="AV43" s="1"/>
      <c r="AW43" s="1"/>
      <c r="AX43" s="1"/>
      <c r="AY43" s="1"/>
      <c r="AZ43" s="1"/>
      <c r="BA43" s="1"/>
      <c r="BB43" s="1"/>
      <c r="BC43" s="1"/>
      <c r="BD43" s="1"/>
      <c r="BE43" s="1"/>
      <c r="BF43" s="1"/>
      <c r="BG43" s="1"/>
      <c r="BH43" s="1"/>
      <c r="BI43" s="23"/>
      <c r="BJ43" s="23"/>
      <c r="BK43" s="23"/>
      <c r="BL43" s="23"/>
      <c r="BM43" s="23"/>
      <c r="BN43" s="23"/>
      <c r="BO43" s="1"/>
      <c r="BP43" s="1"/>
      <c r="BQ43" s="1"/>
      <c r="BR43" s="1"/>
      <c r="BS43" s="1"/>
    </row>
    <row r="44" ht="15.75" customHeight="1">
      <c r="A44" s="1"/>
      <c r="B44" s="1"/>
      <c r="C44" s="1"/>
      <c r="D44" s="1"/>
      <c r="E44" s="1"/>
      <c r="F44" s="1"/>
      <c r="G44" s="1"/>
      <c r="H44" s="1"/>
      <c r="I44" s="34"/>
      <c r="J44" s="5"/>
      <c r="K44" s="23" t="s">
        <v>40</v>
      </c>
      <c r="L44" s="5"/>
      <c r="M44" s="5"/>
      <c r="N44" s="5"/>
      <c r="O44" s="5"/>
      <c r="P44" s="5"/>
      <c r="Q44" s="89" t="str">
        <f>AD34-Q43*AD36</f>
        <v>200.0 KN/m²</v>
      </c>
      <c r="V44" s="5"/>
      <c r="W44" s="5"/>
      <c r="X44" s="5"/>
      <c r="Y44" s="5"/>
      <c r="Z44" s="5"/>
      <c r="AA44" s="5"/>
      <c r="AB44" s="5"/>
      <c r="AC44" s="5"/>
      <c r="AD44" s="5"/>
      <c r="AE44" s="5"/>
      <c r="AF44" s="5"/>
      <c r="AG44" s="5"/>
      <c r="AH44" s="5"/>
      <c r="AI44" s="5"/>
      <c r="AJ44" s="5"/>
      <c r="AK44" s="5"/>
      <c r="AL44" s="86"/>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row>
    <row r="45" ht="15.75" customHeight="1">
      <c r="A45" s="1"/>
      <c r="B45" s="1"/>
      <c r="C45" s="1"/>
      <c r="D45" s="1"/>
      <c r="E45" s="1"/>
      <c r="F45" s="1"/>
      <c r="G45" s="1"/>
      <c r="H45" s="1"/>
      <c r="I45" s="34"/>
      <c r="J45" s="5"/>
      <c r="K45" s="23" t="s">
        <v>41</v>
      </c>
      <c r="L45" s="5"/>
      <c r="M45" s="5"/>
      <c r="N45" s="5"/>
      <c r="O45" s="5"/>
      <c r="P45" s="90" t="str">
        <f>Q42/Q44</f>
        <v>5.91 m²</v>
      </c>
      <c r="T45" s="5"/>
      <c r="U45" s="5"/>
      <c r="V45" s="5"/>
      <c r="W45" s="5"/>
      <c r="X45" s="5"/>
      <c r="Y45" s="5"/>
      <c r="Z45" s="5"/>
      <c r="AA45" s="5"/>
      <c r="AB45" s="5"/>
      <c r="AC45" s="5"/>
      <c r="AD45" s="5"/>
      <c r="AE45" s="5"/>
      <c r="AF45" s="5"/>
      <c r="AG45" s="5"/>
      <c r="AH45" s="91" t="s">
        <v>42</v>
      </c>
      <c r="AI45" s="5"/>
      <c r="AJ45" s="5"/>
      <c r="AK45" s="5"/>
      <c r="AL45" s="86"/>
      <c r="AM45" s="1"/>
      <c r="AN45" s="88" t="s">
        <v>43</v>
      </c>
      <c r="AO45" s="1"/>
      <c r="AP45" s="88"/>
      <c r="AQ45" s="92"/>
      <c r="AR45" s="92"/>
      <c r="AS45" s="92"/>
      <c r="AT45" s="92"/>
      <c r="AU45" s="92"/>
      <c r="AV45" s="92"/>
      <c r="AW45" s="92"/>
      <c r="AX45" s="92"/>
      <c r="AY45" s="92"/>
      <c r="AZ45" s="92"/>
      <c r="BA45" s="92"/>
      <c r="BB45" s="92"/>
      <c r="BC45" s="92"/>
      <c r="BD45" s="92"/>
      <c r="BE45" s="92"/>
      <c r="BF45" s="92"/>
      <c r="BG45" s="92"/>
      <c r="BH45" s="92"/>
      <c r="BI45" s="1"/>
      <c r="BJ45" s="1"/>
      <c r="BK45" s="1"/>
      <c r="BL45" s="1"/>
      <c r="BM45" s="1"/>
      <c r="BN45" s="1"/>
      <c r="BO45" s="1"/>
      <c r="BP45" s="1"/>
      <c r="BQ45" s="1"/>
      <c r="BR45" s="1"/>
      <c r="BS45" s="1"/>
    </row>
    <row r="46" ht="15.75" customHeight="1">
      <c r="A46" s="1"/>
      <c r="B46" s="1"/>
      <c r="C46" s="1"/>
      <c r="D46" s="1"/>
      <c r="E46" s="1"/>
      <c r="F46" s="1"/>
      <c r="G46" s="1"/>
      <c r="H46" s="1"/>
      <c r="I46" s="34"/>
      <c r="J46" s="5"/>
      <c r="K46" s="93" t="str">
        <f>CEILING((-(T37-T36)+((T37-T36)^2-4*(-P45))^0.5)/2,0.05)</f>
        <v>L = 2.55 m</v>
      </c>
      <c r="O46" s="5"/>
      <c r="P46" s="5"/>
      <c r="Q46" s="5"/>
      <c r="R46" s="5"/>
      <c r="S46" s="5"/>
      <c r="T46" s="5"/>
      <c r="U46" s="5"/>
      <c r="V46" s="5"/>
      <c r="W46" s="5"/>
      <c r="X46" s="5"/>
      <c r="Y46" s="5"/>
      <c r="Z46" s="5"/>
      <c r="AA46" s="5"/>
      <c r="AB46" s="5"/>
      <c r="AC46" s="5"/>
      <c r="AD46" s="5"/>
      <c r="AE46" s="5"/>
      <c r="AF46" s="5"/>
      <c r="AG46" s="5"/>
      <c r="AH46" s="5"/>
      <c r="AI46" s="5"/>
      <c r="AJ46" s="5"/>
      <c r="AK46" s="5"/>
      <c r="AL46" s="86"/>
      <c r="AM46" s="1"/>
      <c r="AN46" s="1"/>
      <c r="AO46" s="1"/>
      <c r="AP46" s="1"/>
      <c r="AQ46" s="92"/>
      <c r="AR46" s="92"/>
      <c r="AS46" s="92"/>
      <c r="AT46" s="92"/>
      <c r="AU46" s="92"/>
      <c r="AV46" s="92"/>
      <c r="AW46" s="92"/>
      <c r="AX46" s="92"/>
      <c r="AY46" s="92"/>
      <c r="AZ46" s="92"/>
      <c r="BA46" s="92"/>
      <c r="BB46" s="92"/>
      <c r="BC46" s="92"/>
      <c r="BD46" s="92"/>
      <c r="BE46" s="92"/>
      <c r="BF46" s="92"/>
      <c r="BG46" s="92"/>
      <c r="BH46" s="92"/>
      <c r="BI46" s="1"/>
      <c r="BJ46" s="1"/>
      <c r="BK46" s="1"/>
      <c r="BL46" s="1"/>
      <c r="BM46" s="1"/>
      <c r="BN46" s="1"/>
      <c r="BO46" s="1"/>
      <c r="BP46" s="1"/>
      <c r="BQ46" s="1"/>
      <c r="BR46" s="1"/>
      <c r="BS46" s="1"/>
    </row>
    <row r="47" ht="15.75" customHeight="1">
      <c r="A47" s="1"/>
      <c r="B47" s="1"/>
      <c r="C47" s="1"/>
      <c r="D47" s="1"/>
      <c r="E47" s="1"/>
      <c r="F47" s="1"/>
      <c r="G47" s="1"/>
      <c r="H47" s="1"/>
      <c r="I47" s="34"/>
      <c r="J47" s="5"/>
      <c r="K47" s="94" t="str">
        <f>CEILING((-(T36-T37)+((T37-T36)^2-4*(-P45))^0.5)/2,0.05)</f>
        <v>B = 2.35 m</v>
      </c>
      <c r="O47" s="5"/>
      <c r="P47" s="5"/>
      <c r="Q47" s="5"/>
      <c r="R47" s="5"/>
      <c r="S47" s="5"/>
      <c r="T47" s="5"/>
      <c r="U47" s="5"/>
      <c r="V47" s="2"/>
      <c r="W47" s="5"/>
      <c r="X47" s="2"/>
      <c r="Y47" s="5"/>
      <c r="Z47" s="5"/>
      <c r="AA47" s="5"/>
      <c r="AB47" s="5"/>
      <c r="AC47" s="5"/>
      <c r="AD47" s="5"/>
      <c r="AE47" s="5"/>
      <c r="AF47" s="5"/>
      <c r="AG47" s="5"/>
      <c r="AH47" s="5"/>
      <c r="AI47" s="5"/>
      <c r="AJ47" s="5"/>
      <c r="AK47" s="5"/>
      <c r="AL47" s="86"/>
      <c r="AM47" s="1"/>
      <c r="AN47" s="1"/>
      <c r="AO47" s="1"/>
      <c r="AP47" s="1"/>
      <c r="AQ47" s="92"/>
      <c r="AR47" s="92"/>
      <c r="AS47" s="92"/>
      <c r="AT47" s="92"/>
      <c r="AU47" s="92"/>
      <c r="AV47" s="92"/>
      <c r="AW47" s="92"/>
      <c r="AX47" s="92"/>
      <c r="AY47" s="92"/>
      <c r="AZ47" s="92"/>
      <c r="BA47" s="92"/>
      <c r="BB47" s="92"/>
      <c r="BC47" s="92"/>
      <c r="BD47" s="92"/>
      <c r="BE47" s="92"/>
      <c r="BF47" s="92"/>
      <c r="BG47" s="92"/>
      <c r="BH47" s="92"/>
      <c r="BI47" s="1"/>
      <c r="BJ47" s="1"/>
      <c r="BK47" s="1"/>
      <c r="BL47" s="1"/>
      <c r="BM47" s="1"/>
      <c r="BN47" s="1"/>
      <c r="BO47" s="1"/>
      <c r="BP47" s="1"/>
      <c r="BQ47" s="1"/>
      <c r="BR47" s="1"/>
      <c r="BS47" s="1"/>
    </row>
    <row r="48" ht="15.75" customHeight="1">
      <c r="A48" s="1"/>
      <c r="B48" s="1"/>
      <c r="C48" s="1"/>
      <c r="D48" s="1"/>
      <c r="E48" s="1"/>
      <c r="F48" s="1"/>
      <c r="G48" s="1"/>
      <c r="H48" s="1"/>
      <c r="I48" s="34"/>
      <c r="J48" s="5"/>
      <c r="K48" s="94" t="s">
        <v>44</v>
      </c>
      <c r="L48" s="94"/>
      <c r="M48" s="94"/>
      <c r="N48" s="90" t="str">
        <f>K46*K47</f>
        <v>5.99 m²</v>
      </c>
      <c r="R48" s="5"/>
      <c r="S48" s="5"/>
      <c r="T48" s="5"/>
      <c r="U48" s="5"/>
      <c r="V48" s="2"/>
      <c r="W48" s="5"/>
      <c r="X48" s="2"/>
      <c r="Y48" s="5"/>
      <c r="Z48" s="5"/>
      <c r="AA48" s="5"/>
      <c r="AB48" s="5"/>
      <c r="AC48" s="5"/>
      <c r="AD48" s="5"/>
      <c r="AE48" s="5"/>
      <c r="AF48" s="5"/>
      <c r="AG48" s="5"/>
      <c r="AH48" s="5"/>
      <c r="AI48" s="5"/>
      <c r="AJ48" s="5"/>
      <c r="AK48" s="5"/>
      <c r="AL48" s="86"/>
      <c r="AM48" s="1"/>
      <c r="AN48" s="1"/>
      <c r="AO48" s="1"/>
      <c r="AP48" s="1"/>
      <c r="AQ48" s="92"/>
      <c r="AR48" s="92"/>
      <c r="AS48" s="92"/>
      <c r="AT48" s="92"/>
      <c r="AU48" s="92"/>
      <c r="AV48" s="92"/>
      <c r="AW48" s="92"/>
      <c r="AX48" s="92"/>
      <c r="AY48" s="92"/>
      <c r="AZ48" s="92"/>
      <c r="BA48" s="92"/>
      <c r="BB48" s="92"/>
      <c r="BC48" s="92"/>
      <c r="BD48" s="92"/>
      <c r="BE48" s="92"/>
      <c r="BF48" s="92"/>
      <c r="BG48" s="92"/>
      <c r="BH48" s="92"/>
      <c r="BI48" s="1"/>
      <c r="BJ48" s="1"/>
      <c r="BK48" s="1"/>
      <c r="BL48" s="1"/>
      <c r="BM48" s="1"/>
      <c r="BN48" s="1"/>
      <c r="BO48" s="1"/>
      <c r="BP48" s="1"/>
      <c r="BQ48" s="1"/>
      <c r="BR48" s="1"/>
      <c r="BS48" s="1"/>
    </row>
    <row r="49" ht="15.75" customHeight="1">
      <c r="A49" s="1"/>
      <c r="B49" s="1"/>
      <c r="C49" s="1"/>
      <c r="D49" s="1"/>
      <c r="E49" s="1"/>
      <c r="F49" s="1"/>
      <c r="G49" s="1"/>
      <c r="H49" s="1"/>
      <c r="I49" s="34"/>
      <c r="J49" s="5"/>
      <c r="K49" s="23" t="s">
        <v>45</v>
      </c>
      <c r="L49" s="5"/>
      <c r="M49" s="5"/>
      <c r="N49" s="5"/>
      <c r="O49" s="5"/>
      <c r="P49" s="89" t="str">
        <f>Q42/N48</f>
        <v>197.1 KN/m²</v>
      </c>
      <c r="U49" s="23"/>
      <c r="V49" s="2"/>
      <c r="W49" s="5"/>
      <c r="X49" s="23" t="str">
        <f>IF(P49&lt;Q44,"&lt; qna ….. safe","&gt; qna ….. Unsafe")</f>
        <v>&lt; qna ….. safe</v>
      </c>
      <c r="Y49" s="5"/>
      <c r="Z49" s="5"/>
      <c r="AA49" s="5"/>
      <c r="AB49" s="5"/>
      <c r="AC49" s="5"/>
      <c r="AD49" s="5"/>
      <c r="AE49" s="5"/>
      <c r="AF49" s="5"/>
      <c r="AG49" s="5"/>
      <c r="AH49" s="5"/>
      <c r="AI49" s="5"/>
      <c r="AJ49" s="5"/>
      <c r="AK49" s="5"/>
      <c r="AL49" s="86"/>
      <c r="AM49" s="1"/>
      <c r="AN49" s="1"/>
      <c r="AO49" s="1"/>
      <c r="AP49" s="1"/>
      <c r="AQ49" s="92"/>
      <c r="AR49" s="92"/>
      <c r="AS49" s="92"/>
      <c r="AT49" s="92"/>
      <c r="AU49" s="92"/>
      <c r="AV49" s="92"/>
      <c r="AW49" s="92"/>
      <c r="AX49" s="92"/>
      <c r="AY49" s="92"/>
      <c r="AZ49" s="92"/>
      <c r="BA49" s="92"/>
      <c r="BB49" s="92"/>
      <c r="BC49" s="92"/>
      <c r="BD49" s="92"/>
      <c r="BE49" s="92"/>
      <c r="BF49" s="92"/>
      <c r="BG49" s="92"/>
      <c r="BH49" s="92"/>
      <c r="BI49" s="1"/>
      <c r="BJ49" s="1"/>
      <c r="BK49" s="1"/>
      <c r="BL49" s="1"/>
      <c r="BM49" s="1"/>
      <c r="BN49" s="1"/>
      <c r="BO49" s="1"/>
      <c r="BP49" s="1"/>
      <c r="BQ49" s="1"/>
      <c r="BR49" s="1"/>
      <c r="BS49" s="1"/>
    </row>
    <row r="50" ht="4.5" customHeight="1">
      <c r="A50" s="1"/>
      <c r="B50" s="1"/>
      <c r="C50" s="1"/>
      <c r="D50" s="1"/>
      <c r="E50" s="1"/>
      <c r="F50" s="1"/>
      <c r="G50" s="1"/>
      <c r="H50" s="1"/>
      <c r="I50" s="34"/>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86"/>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row>
    <row r="51" ht="15.75" customHeight="1">
      <c r="A51" s="1"/>
      <c r="B51" s="1"/>
      <c r="C51" s="1"/>
      <c r="D51" s="1"/>
      <c r="E51" s="1"/>
      <c r="F51" s="1"/>
      <c r="G51" s="1"/>
      <c r="H51" s="1"/>
      <c r="I51" s="34"/>
      <c r="J51" s="83" t="s">
        <v>46</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86"/>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row>
    <row r="52" ht="4.5" customHeight="1">
      <c r="A52" s="1"/>
      <c r="B52" s="1"/>
      <c r="C52" s="1"/>
      <c r="D52" s="1"/>
      <c r="E52" s="1"/>
      <c r="F52" s="1"/>
      <c r="G52" s="1"/>
      <c r="H52" s="1"/>
      <c r="I52" s="34"/>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86"/>
      <c r="AM52" s="1"/>
      <c r="AN52" s="1"/>
      <c r="AO52" s="88"/>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row>
    <row r="53" ht="15.75" customHeight="1">
      <c r="A53" s="1"/>
      <c r="B53" s="1"/>
      <c r="C53" s="1"/>
      <c r="D53" s="1"/>
      <c r="E53" s="1"/>
      <c r="F53" s="1"/>
      <c r="G53" s="1"/>
      <c r="H53" s="1"/>
      <c r="I53" s="34"/>
      <c r="J53" s="5"/>
      <c r="K53" s="23" t="s">
        <v>47</v>
      </c>
      <c r="L53" s="5"/>
      <c r="M53" s="5"/>
      <c r="N53" s="5"/>
      <c r="O53" s="5"/>
      <c r="P53" s="5"/>
      <c r="Q53" s="5"/>
      <c r="R53" s="5"/>
      <c r="S53" s="85" t="str">
        <f>1.4*T34+1.7*T35</f>
        <v>1653.6 KN</v>
      </c>
      <c r="X53" s="5"/>
      <c r="Y53" s="5"/>
      <c r="Z53" s="5"/>
      <c r="AA53" s="5"/>
      <c r="AB53" s="5"/>
      <c r="AC53" s="5"/>
      <c r="AD53" s="5"/>
      <c r="AE53" s="5"/>
      <c r="AF53" s="5"/>
      <c r="AG53" s="95"/>
      <c r="AH53" s="91" t="s">
        <v>48</v>
      </c>
      <c r="AI53" s="5"/>
      <c r="AJ53" s="5"/>
      <c r="AK53" s="5"/>
      <c r="AL53" s="86"/>
      <c r="AM53" s="1"/>
      <c r="AN53" s="1"/>
      <c r="AO53" s="1"/>
      <c r="AP53" s="1"/>
      <c r="AQ53" s="1"/>
      <c r="AR53" s="1"/>
      <c r="AS53" s="1"/>
      <c r="AT53" s="1"/>
      <c r="AU53" s="1"/>
      <c r="AV53" s="1"/>
      <c r="AW53" s="1"/>
      <c r="AX53" s="1"/>
      <c r="AY53" s="1"/>
      <c r="AZ53" s="1"/>
      <c r="BA53" s="1"/>
      <c r="BB53" s="1"/>
      <c r="BC53" s="1"/>
      <c r="BD53" s="1"/>
      <c r="BE53" s="1"/>
      <c r="BF53" s="1"/>
      <c r="BG53" s="1"/>
      <c r="BH53" s="1"/>
      <c r="BI53" s="96"/>
      <c r="BJ53" s="1"/>
      <c r="BK53" s="1"/>
      <c r="BL53" s="1"/>
      <c r="BM53" s="1"/>
      <c r="BN53" s="1"/>
      <c r="BO53" s="1"/>
      <c r="BP53" s="1"/>
      <c r="BQ53" s="1"/>
      <c r="BR53" s="1"/>
      <c r="BS53" s="1"/>
    </row>
    <row r="54" ht="15.75" customHeight="1">
      <c r="A54" s="1"/>
      <c r="B54" s="1"/>
      <c r="C54" s="1"/>
      <c r="D54" s="1"/>
      <c r="E54" s="1"/>
      <c r="F54" s="1"/>
      <c r="G54" s="1"/>
      <c r="H54" s="1"/>
      <c r="I54" s="34"/>
      <c r="J54" s="5"/>
      <c r="K54" s="23" t="s">
        <v>49</v>
      </c>
      <c r="L54" s="5"/>
      <c r="M54" s="5"/>
      <c r="N54" s="5"/>
      <c r="O54" s="5"/>
      <c r="P54" s="89" t="str">
        <f>S53/N48</f>
        <v>276.0 KN/m²</v>
      </c>
      <c r="U54" s="5"/>
      <c r="V54" s="5"/>
      <c r="W54" s="5"/>
      <c r="X54" s="5"/>
      <c r="Y54" s="5"/>
      <c r="Z54" s="5"/>
      <c r="AA54" s="5"/>
      <c r="AB54" s="5"/>
      <c r="AC54" s="5"/>
      <c r="AD54" s="5"/>
      <c r="AE54" s="5"/>
      <c r="AF54" s="5"/>
      <c r="AG54" s="5"/>
      <c r="AH54" s="91" t="s">
        <v>50</v>
      </c>
      <c r="AI54" s="5"/>
      <c r="AJ54" s="5"/>
      <c r="AK54" s="5"/>
      <c r="AL54" s="86"/>
      <c r="AM54" s="1"/>
      <c r="AN54" s="88"/>
      <c r="AO54" s="1"/>
      <c r="AP54" s="88"/>
      <c r="AQ54" s="92"/>
      <c r="AR54" s="92"/>
      <c r="AS54" s="92"/>
      <c r="AT54" s="92"/>
      <c r="AU54" s="92"/>
      <c r="AV54" s="92"/>
      <c r="AW54" s="92"/>
      <c r="AX54" s="92"/>
      <c r="AY54" s="92"/>
      <c r="AZ54" s="92"/>
      <c r="BA54" s="92"/>
      <c r="BB54" s="92"/>
      <c r="BC54" s="92"/>
      <c r="BD54" s="92"/>
      <c r="BE54" s="92"/>
      <c r="BF54" s="92"/>
      <c r="BG54" s="92"/>
      <c r="BH54" s="92"/>
      <c r="BI54" s="96"/>
      <c r="BJ54" s="1"/>
      <c r="BK54" s="1"/>
      <c r="BL54" s="1"/>
      <c r="BM54" s="1"/>
      <c r="BN54" s="1"/>
      <c r="BO54" s="1"/>
      <c r="BP54" s="1"/>
      <c r="BQ54" s="1"/>
      <c r="BR54" s="1"/>
      <c r="BS54" s="1"/>
    </row>
    <row r="55" ht="4.5" customHeight="1">
      <c r="A55" s="1"/>
      <c r="B55" s="1"/>
      <c r="C55" s="1"/>
      <c r="D55" s="1"/>
      <c r="E55" s="1"/>
      <c r="F55" s="1"/>
      <c r="G55" s="1"/>
      <c r="H55" s="1"/>
      <c r="I55" s="34"/>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86"/>
      <c r="AM55" s="1"/>
      <c r="AN55" s="1"/>
      <c r="AO55" s="1"/>
      <c r="AP55" s="1"/>
      <c r="AQ55" s="92"/>
      <c r="AR55" s="92"/>
      <c r="AS55" s="92"/>
      <c r="AT55" s="92"/>
      <c r="AU55" s="92"/>
      <c r="AV55" s="92"/>
      <c r="AW55" s="92"/>
      <c r="AX55" s="92"/>
      <c r="AY55" s="92"/>
      <c r="AZ55" s="92"/>
      <c r="BA55" s="92"/>
      <c r="BB55" s="92"/>
      <c r="BC55" s="92"/>
      <c r="BD55" s="92"/>
      <c r="BE55" s="92"/>
      <c r="BF55" s="92"/>
      <c r="BG55" s="92"/>
      <c r="BH55" s="92"/>
      <c r="BI55" s="96"/>
      <c r="BJ55" s="1"/>
      <c r="BK55" s="1"/>
      <c r="BL55" s="1"/>
      <c r="BM55" s="1"/>
      <c r="BN55" s="1"/>
      <c r="BO55" s="1"/>
      <c r="BP55" s="1"/>
      <c r="BQ55" s="1"/>
      <c r="BR55" s="1"/>
      <c r="BS55" s="1"/>
    </row>
    <row r="56" ht="15.75" customHeight="1">
      <c r="A56" s="1"/>
      <c r="B56" s="1"/>
      <c r="C56" s="1"/>
      <c r="D56" s="1"/>
      <c r="E56" s="1"/>
      <c r="F56" s="1"/>
      <c r="G56" s="1"/>
      <c r="H56" s="1"/>
      <c r="I56" s="34"/>
      <c r="J56" s="5"/>
      <c r="K56" s="23" t="s">
        <v>51</v>
      </c>
      <c r="L56" s="5"/>
      <c r="M56" s="5"/>
      <c r="N56" s="5"/>
      <c r="O56" s="5"/>
      <c r="P56" s="5"/>
      <c r="Q56" s="5"/>
      <c r="R56" s="5"/>
      <c r="S56" s="2"/>
      <c r="T56" s="2"/>
      <c r="U56" s="97" t="str">
        <f>AD37</f>
        <v>600 mm</v>
      </c>
      <c r="Y56" s="5"/>
      <c r="Z56" s="5"/>
      <c r="AA56" s="5"/>
      <c r="AB56" s="2"/>
      <c r="AC56" s="2"/>
      <c r="AD56" s="2"/>
      <c r="AE56" s="2"/>
      <c r="AF56" s="5"/>
      <c r="AG56" s="5"/>
      <c r="AH56" s="5"/>
      <c r="AI56" s="5"/>
      <c r="AJ56" s="5"/>
      <c r="AK56" s="5"/>
      <c r="AL56" s="86"/>
      <c r="AM56" s="1"/>
      <c r="AN56" s="1"/>
      <c r="AO56" s="1"/>
      <c r="AP56" s="1"/>
      <c r="AQ56" s="92"/>
      <c r="AR56" s="92"/>
      <c r="AS56" s="92"/>
      <c r="AT56" s="92"/>
      <c r="AU56" s="92"/>
      <c r="AV56" s="92"/>
      <c r="AW56" s="92"/>
      <c r="AX56" s="92"/>
      <c r="AY56" s="92"/>
      <c r="AZ56" s="92"/>
      <c r="BA56" s="92"/>
      <c r="BB56" s="92"/>
      <c r="BC56" s="92"/>
      <c r="BD56" s="92"/>
      <c r="BE56" s="92"/>
      <c r="BF56" s="92"/>
      <c r="BG56" s="92"/>
      <c r="BH56" s="92"/>
      <c r="BI56" s="96"/>
      <c r="BJ56" s="1"/>
      <c r="BK56" s="1"/>
      <c r="BL56" s="1"/>
      <c r="BM56" s="1"/>
      <c r="BN56" s="1"/>
      <c r="BO56" s="1"/>
      <c r="BP56" s="1"/>
      <c r="BQ56" s="1"/>
      <c r="BR56" s="1"/>
      <c r="BS56" s="1"/>
    </row>
    <row r="57" ht="15.75" customHeight="1">
      <c r="A57" s="1"/>
      <c r="B57" s="1"/>
      <c r="C57" s="1"/>
      <c r="D57" s="1"/>
      <c r="E57" s="1"/>
      <c r="F57" s="1"/>
      <c r="G57" s="1"/>
      <c r="H57" s="1"/>
      <c r="I57" s="34"/>
      <c r="J57" s="5"/>
      <c r="K57" s="23" t="s">
        <v>52</v>
      </c>
      <c r="L57" s="5"/>
      <c r="M57" s="5"/>
      <c r="N57" s="5"/>
      <c r="O57" s="5"/>
      <c r="P57" s="5"/>
      <c r="Q57" s="5"/>
      <c r="R57" s="2"/>
      <c r="S57" s="2"/>
      <c r="T57" s="2"/>
      <c r="U57" s="1"/>
      <c r="V57" s="1"/>
      <c r="W57" s="1"/>
      <c r="X57" s="1"/>
      <c r="Y57" s="97" t="str">
        <f>U56-J37-O22</f>
        <v>510 mm</v>
      </c>
      <c r="AC57" s="2"/>
      <c r="AD57" s="2"/>
      <c r="AE57" s="2"/>
      <c r="AF57" s="2"/>
      <c r="AG57" s="2"/>
      <c r="AH57" s="5"/>
      <c r="AI57" s="5"/>
      <c r="AJ57" s="5"/>
      <c r="AK57" s="5"/>
      <c r="AL57" s="86"/>
      <c r="AM57" s="1"/>
      <c r="AN57" s="1"/>
      <c r="AO57" s="1"/>
      <c r="AP57" s="1"/>
      <c r="AQ57" s="92"/>
      <c r="AR57" s="92"/>
      <c r="AS57" s="92"/>
      <c r="AT57" s="92"/>
      <c r="AU57" s="92"/>
      <c r="AV57" s="92"/>
      <c r="AW57" s="92"/>
      <c r="AX57" s="92"/>
      <c r="AY57" s="92"/>
      <c r="AZ57" s="92"/>
      <c r="BA57" s="92"/>
      <c r="BB57" s="92"/>
      <c r="BC57" s="92"/>
      <c r="BD57" s="92"/>
      <c r="BE57" s="92"/>
      <c r="BF57" s="92"/>
      <c r="BG57" s="92"/>
      <c r="BH57" s="92"/>
      <c r="BI57" s="96"/>
      <c r="BJ57" s="1"/>
      <c r="BK57" s="1"/>
      <c r="BL57" s="1"/>
      <c r="BM57" s="1"/>
      <c r="BN57" s="1"/>
      <c r="BO57" s="1"/>
      <c r="BP57" s="1"/>
      <c r="BQ57" s="1"/>
      <c r="BR57" s="1"/>
      <c r="BS57" s="1"/>
    </row>
    <row r="58" ht="4.5" customHeight="1">
      <c r="A58" s="1"/>
      <c r="B58" s="1"/>
      <c r="C58" s="1"/>
      <c r="D58" s="1"/>
      <c r="E58" s="1"/>
      <c r="F58" s="1"/>
      <c r="G58" s="1"/>
      <c r="H58" s="1"/>
      <c r="I58" s="34"/>
      <c r="J58" s="5"/>
      <c r="K58" s="23"/>
      <c r="L58" s="5"/>
      <c r="M58" s="5"/>
      <c r="N58" s="5"/>
      <c r="O58" s="5"/>
      <c r="P58" s="5"/>
      <c r="Q58" s="5"/>
      <c r="R58" s="5"/>
      <c r="S58" s="97"/>
      <c r="T58" s="97"/>
      <c r="U58" s="97"/>
      <c r="V58" s="97"/>
      <c r="W58" s="5"/>
      <c r="X58" s="5"/>
      <c r="Y58" s="5"/>
      <c r="Z58" s="5"/>
      <c r="AA58" s="5"/>
      <c r="AB58" s="5"/>
      <c r="AC58" s="5"/>
      <c r="AD58" s="5"/>
      <c r="AE58" s="5"/>
      <c r="AF58" s="5"/>
      <c r="AG58" s="5"/>
      <c r="AH58" s="5"/>
      <c r="AI58" s="5"/>
      <c r="AJ58" s="5"/>
      <c r="AK58" s="5"/>
      <c r="AL58" s="86"/>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row>
    <row r="59" ht="15.75" customHeight="1">
      <c r="A59" s="1"/>
      <c r="B59" s="1"/>
      <c r="C59" s="1"/>
      <c r="D59" s="1"/>
      <c r="E59" s="1"/>
      <c r="F59" s="1"/>
      <c r="G59" s="1"/>
      <c r="H59" s="1"/>
      <c r="I59" s="34"/>
      <c r="J59" s="83" t="s">
        <v>53</v>
      </c>
      <c r="K59" s="2"/>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86"/>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row>
    <row r="60" ht="4.5" customHeight="1">
      <c r="A60" s="1"/>
      <c r="B60" s="1"/>
      <c r="C60" s="1"/>
      <c r="D60" s="1"/>
      <c r="E60" s="1"/>
      <c r="F60" s="1"/>
      <c r="G60" s="1"/>
      <c r="H60" s="1"/>
      <c r="I60" s="34"/>
      <c r="J60" s="5"/>
      <c r="K60" s="23"/>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86"/>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row>
    <row r="61" ht="15.75" customHeight="1">
      <c r="A61" s="1"/>
      <c r="B61" s="1"/>
      <c r="C61" s="1"/>
      <c r="D61" s="1"/>
      <c r="E61" s="1"/>
      <c r="F61" s="1"/>
      <c r="G61" s="1"/>
      <c r="H61" s="1"/>
      <c r="I61" s="34"/>
      <c r="J61" s="5"/>
      <c r="K61" s="23" t="s">
        <v>54</v>
      </c>
      <c r="L61" s="5"/>
      <c r="M61" s="5"/>
      <c r="N61" s="5"/>
      <c r="O61" s="5"/>
      <c r="P61" s="5"/>
      <c r="Q61" s="5"/>
      <c r="R61" s="5"/>
      <c r="S61" s="85"/>
      <c r="T61" s="85"/>
      <c r="U61" s="85"/>
      <c r="V61" s="85"/>
      <c r="W61" s="85"/>
      <c r="X61" s="5"/>
      <c r="Y61" s="5"/>
      <c r="Z61" s="5"/>
      <c r="AA61" s="5"/>
      <c r="AB61" s="5"/>
      <c r="AC61" s="5"/>
      <c r="AD61" s="5"/>
      <c r="AE61" s="5"/>
      <c r="AF61" s="5"/>
      <c r="AG61" s="5"/>
      <c r="AH61" s="91" t="s">
        <v>55</v>
      </c>
      <c r="AI61" s="5"/>
      <c r="AJ61" s="5"/>
      <c r="AK61" s="5"/>
      <c r="AL61" s="86"/>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row>
    <row r="62" ht="15.75" customHeight="1">
      <c r="A62" s="1"/>
      <c r="B62" s="1"/>
      <c r="C62" s="1"/>
      <c r="D62" s="1"/>
      <c r="E62" s="1"/>
      <c r="F62" s="1"/>
      <c r="G62" s="1"/>
      <c r="H62" s="1"/>
      <c r="I62" s="34"/>
      <c r="J62" s="5"/>
      <c r="K62" s="23" t="s">
        <v>56</v>
      </c>
      <c r="L62" s="5"/>
      <c r="M62" s="5"/>
      <c r="N62" s="5"/>
      <c r="O62" s="5"/>
      <c r="P62" s="5"/>
      <c r="Q62" s="5"/>
      <c r="R62" s="5"/>
      <c r="S62" s="85" t="str">
        <f>P54*K47*(0.5*K46-0.5*T36-Y57/1000)</f>
        <v>366.4 KN</v>
      </c>
      <c r="X62" s="5"/>
      <c r="Y62" s="5"/>
      <c r="Z62" s="5"/>
      <c r="AA62" s="5"/>
      <c r="AB62" s="5"/>
      <c r="AC62" s="5"/>
      <c r="AD62" s="5"/>
      <c r="AE62" s="5"/>
      <c r="AF62" s="5"/>
      <c r="AG62" s="5"/>
      <c r="AH62" s="5"/>
      <c r="AI62" s="5"/>
      <c r="AJ62" s="5"/>
      <c r="AK62" s="5"/>
      <c r="AL62" s="86"/>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row>
    <row r="63" ht="15.75" customHeight="1">
      <c r="A63" s="1"/>
      <c r="B63" s="1"/>
      <c r="C63" s="1"/>
      <c r="D63" s="1"/>
      <c r="E63" s="1"/>
      <c r="F63" s="1"/>
      <c r="G63" s="1"/>
      <c r="H63" s="1"/>
      <c r="I63" s="34"/>
      <c r="J63" s="5"/>
      <c r="K63" s="23" t="s">
        <v>57</v>
      </c>
      <c r="L63" s="5"/>
      <c r="M63" s="5"/>
      <c r="N63" s="5"/>
      <c r="O63" s="5"/>
      <c r="P63" s="5"/>
      <c r="Q63" s="23"/>
      <c r="R63" s="5"/>
      <c r="S63" s="85" t="str">
        <f>0.85*0.17*(0.8*J34)^0.5*K47*1000*$Y$57/1000</f>
        <v>848.4 KN</v>
      </c>
      <c r="X63" s="2"/>
      <c r="Y63" s="23" t="str">
        <f>IF(S62&lt;S63,"&gt; Vu ….. safe","Unsafe")</f>
        <v>&gt; Vu ….. safe</v>
      </c>
      <c r="Z63" s="5"/>
      <c r="AA63" s="5"/>
      <c r="AB63" s="5"/>
      <c r="AC63" s="5"/>
      <c r="AD63" s="5"/>
      <c r="AE63" s="5"/>
      <c r="AF63" s="2"/>
      <c r="AG63" s="5"/>
      <c r="AH63" s="91" t="s">
        <v>58</v>
      </c>
      <c r="AI63" s="5"/>
      <c r="AJ63" s="5"/>
      <c r="AK63" s="5"/>
      <c r="AL63" s="86"/>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row>
    <row r="64" ht="15.75" customHeight="1">
      <c r="A64" s="1"/>
      <c r="B64" s="1"/>
      <c r="C64" s="1"/>
      <c r="D64" s="1"/>
      <c r="E64" s="1"/>
      <c r="F64" s="1"/>
      <c r="G64" s="1"/>
      <c r="H64" s="1"/>
      <c r="I64" s="34"/>
      <c r="J64" s="5"/>
      <c r="K64" s="23" t="s">
        <v>59</v>
      </c>
      <c r="L64" s="5"/>
      <c r="M64" s="5"/>
      <c r="N64" s="5"/>
      <c r="O64" s="5"/>
      <c r="P64" s="5"/>
      <c r="Q64" s="5"/>
      <c r="R64" s="5"/>
      <c r="S64" s="85" t="str">
        <f>P54*K46*(0.5*K47-0.5*T37-Y57/1000)</f>
        <v>397.6 KN</v>
      </c>
      <c r="X64" s="2"/>
      <c r="Y64" s="5"/>
      <c r="Z64" s="5"/>
      <c r="AA64" s="5"/>
      <c r="AB64" s="5"/>
      <c r="AC64" s="5"/>
      <c r="AD64" s="5"/>
      <c r="AE64" s="5"/>
      <c r="AF64" s="2"/>
      <c r="AG64" s="5"/>
      <c r="AH64" s="5"/>
      <c r="AI64" s="5"/>
      <c r="AJ64" s="5"/>
      <c r="AK64" s="5"/>
      <c r="AL64" s="86"/>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row>
    <row r="65" ht="15.75" customHeight="1">
      <c r="A65" s="1"/>
      <c r="B65" s="1"/>
      <c r="C65" s="1"/>
      <c r="D65" s="1"/>
      <c r="E65" s="1"/>
      <c r="F65" s="1"/>
      <c r="G65" s="1"/>
      <c r="H65" s="1"/>
      <c r="I65" s="34"/>
      <c r="J65" s="5"/>
      <c r="K65" s="23" t="s">
        <v>60</v>
      </c>
      <c r="L65" s="5"/>
      <c r="M65" s="5"/>
      <c r="N65" s="5"/>
      <c r="O65" s="5"/>
      <c r="P65" s="5"/>
      <c r="Q65" s="23"/>
      <c r="R65" s="5"/>
      <c r="S65" s="85" t="str">
        <f>0.85*0.17*(0.8*J34)^0.5*K46*1000*$Y$57/1000</f>
        <v>920.6 KN</v>
      </c>
      <c r="X65" s="2"/>
      <c r="Y65" s="23" t="str">
        <f>IF(S64&lt;S65,"&gt; Vu ….. safe","Unsafe")</f>
        <v>&gt; Vu ….. safe</v>
      </c>
      <c r="Z65" s="5"/>
      <c r="AA65" s="5"/>
      <c r="AB65" s="5"/>
      <c r="AC65" s="5"/>
      <c r="AD65" s="5"/>
      <c r="AE65" s="5"/>
      <c r="AF65" s="2"/>
      <c r="AG65" s="5"/>
      <c r="AH65" s="91" t="s">
        <v>58</v>
      </c>
      <c r="AI65" s="5"/>
      <c r="AJ65" s="5"/>
      <c r="AK65" s="5"/>
      <c r="AL65" s="86"/>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row>
    <row r="66" ht="4.5" customHeight="1">
      <c r="A66" s="1"/>
      <c r="B66" s="1"/>
      <c r="C66" s="1"/>
      <c r="D66" s="1"/>
      <c r="E66" s="1"/>
      <c r="F66" s="1"/>
      <c r="G66" s="1"/>
      <c r="H66" s="1"/>
      <c r="I66" s="34"/>
      <c r="J66" s="5"/>
      <c r="K66" s="5"/>
      <c r="L66" s="5"/>
      <c r="M66" s="5"/>
      <c r="N66" s="5"/>
      <c r="O66" s="5"/>
      <c r="P66" s="5"/>
      <c r="Q66" s="2"/>
      <c r="R66" s="5"/>
      <c r="S66" s="5"/>
      <c r="T66" s="5"/>
      <c r="U66" s="5"/>
      <c r="V66" s="5"/>
      <c r="W66" s="5"/>
      <c r="X66" s="5"/>
      <c r="Y66" s="5"/>
      <c r="Z66" s="5"/>
      <c r="AA66" s="5"/>
      <c r="AB66" s="5"/>
      <c r="AC66" s="5"/>
      <c r="AD66" s="5"/>
      <c r="AE66" s="5"/>
      <c r="AF66" s="5"/>
      <c r="AG66" s="5"/>
      <c r="AH66" s="5"/>
      <c r="AI66" s="5"/>
      <c r="AJ66" s="5"/>
      <c r="AK66" s="5"/>
      <c r="AL66" s="86"/>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row>
    <row r="67" ht="15.75" customHeight="1">
      <c r="A67" s="1"/>
      <c r="B67" s="1"/>
      <c r="C67" s="1"/>
      <c r="D67" s="1"/>
      <c r="E67" s="1"/>
      <c r="F67" s="1"/>
      <c r="G67" s="1"/>
      <c r="H67" s="1"/>
      <c r="I67" s="34"/>
      <c r="J67" s="83" t="s">
        <v>61</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86"/>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row>
    <row r="68" ht="4.5" customHeight="1">
      <c r="A68" s="1"/>
      <c r="B68" s="1"/>
      <c r="C68" s="1"/>
      <c r="D68" s="1"/>
      <c r="E68" s="1"/>
      <c r="F68" s="1"/>
      <c r="G68" s="1"/>
      <c r="H68" s="1"/>
      <c r="I68" s="34"/>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86"/>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row>
    <row r="69" ht="15.75" customHeight="1">
      <c r="A69" s="1"/>
      <c r="B69" s="1"/>
      <c r="C69" s="1"/>
      <c r="D69" s="1"/>
      <c r="E69" s="1"/>
      <c r="F69" s="1"/>
      <c r="G69" s="1"/>
      <c r="H69" s="1"/>
      <c r="I69" s="34"/>
      <c r="J69" s="5"/>
      <c r="K69" s="23" t="s">
        <v>62</v>
      </c>
      <c r="L69" s="5"/>
      <c r="M69" s="5"/>
      <c r="N69" s="5"/>
      <c r="O69" s="5"/>
      <c r="P69" s="5"/>
      <c r="Q69" s="98" t="str">
        <f>2*(T36+T37+2*(Y57/1000))</f>
        <v>3.24 m</v>
      </c>
      <c r="T69" s="85"/>
      <c r="U69" s="85"/>
      <c r="V69" s="85"/>
      <c r="W69" s="85"/>
      <c r="X69" s="5"/>
      <c r="Y69" s="5"/>
      <c r="Z69" s="5"/>
      <c r="AA69" s="5"/>
      <c r="AB69" s="5"/>
      <c r="AC69" s="5"/>
      <c r="AD69" s="5"/>
      <c r="AE69" s="5"/>
      <c r="AF69" s="5"/>
      <c r="AG69" s="5"/>
      <c r="AH69" s="5"/>
      <c r="AI69" s="5"/>
      <c r="AJ69" s="5"/>
      <c r="AK69" s="5"/>
      <c r="AL69" s="86"/>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row>
    <row r="70" ht="13.5" customHeight="1">
      <c r="A70" s="1"/>
      <c r="B70" s="1"/>
      <c r="C70" s="1"/>
      <c r="D70" s="1"/>
      <c r="E70" s="1"/>
      <c r="F70" s="1"/>
      <c r="G70" s="1"/>
      <c r="H70" s="1"/>
      <c r="I70" s="22"/>
      <c r="J70" s="2"/>
      <c r="K70" s="23" t="s">
        <v>63</v>
      </c>
      <c r="L70" s="2"/>
      <c r="M70" s="2"/>
      <c r="N70" s="99" t="str">
        <f>T36/T37</f>
        <v>2.00</v>
      </c>
      <c r="P70" s="2"/>
      <c r="Q70" s="2"/>
      <c r="R70" s="2"/>
      <c r="S70" s="2"/>
      <c r="T70" s="2"/>
      <c r="U70" s="2"/>
      <c r="V70" s="2"/>
      <c r="W70" s="2"/>
      <c r="X70" s="2"/>
      <c r="Y70" s="2"/>
      <c r="Z70" s="2"/>
      <c r="AA70" s="2"/>
      <c r="AB70" s="2"/>
      <c r="AC70" s="2"/>
      <c r="AD70" s="2"/>
      <c r="AE70" s="2"/>
      <c r="AF70" s="2"/>
      <c r="AG70" s="2"/>
      <c r="AH70" s="2"/>
      <c r="AI70" s="2"/>
      <c r="AJ70" s="2"/>
      <c r="AK70" s="2"/>
      <c r="AL70" s="24"/>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row>
    <row r="71" ht="13.5" customHeight="1">
      <c r="A71" s="1"/>
      <c r="B71" s="1"/>
      <c r="C71" s="1"/>
      <c r="D71" s="1"/>
      <c r="E71" s="1"/>
      <c r="F71" s="1"/>
      <c r="G71" s="1"/>
      <c r="H71" s="1"/>
      <c r="I71" s="22"/>
      <c r="J71" s="2"/>
      <c r="K71" s="100">
        <v>40.0</v>
      </c>
      <c r="N71" s="101" t="s">
        <v>64</v>
      </c>
      <c r="O71" s="99"/>
      <c r="P71" s="2"/>
      <c r="Q71" s="2"/>
      <c r="R71" s="2"/>
      <c r="S71" s="2"/>
      <c r="T71" s="2"/>
      <c r="U71" s="2"/>
      <c r="V71" s="2"/>
      <c r="W71" s="2"/>
      <c r="X71" s="2"/>
      <c r="Y71" s="2"/>
      <c r="Z71" s="2"/>
      <c r="AA71" s="2"/>
      <c r="AB71" s="2"/>
      <c r="AC71" s="2"/>
      <c r="AD71" s="2"/>
      <c r="AE71" s="2"/>
      <c r="AF71" s="2"/>
      <c r="AG71" s="2"/>
      <c r="AH71" s="2"/>
      <c r="AI71" s="2"/>
      <c r="AJ71" s="2"/>
      <c r="AK71" s="2"/>
      <c r="AL71" s="24"/>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row>
    <row r="72" ht="15.75" customHeight="1">
      <c r="A72" s="1"/>
      <c r="B72" s="1"/>
      <c r="C72" s="1"/>
      <c r="D72" s="1"/>
      <c r="E72" s="1"/>
      <c r="F72" s="1"/>
      <c r="G72" s="1"/>
      <c r="H72" s="1"/>
      <c r="I72" s="34"/>
      <c r="J72" s="5"/>
      <c r="K72" s="5" t="s">
        <v>65</v>
      </c>
      <c r="N72" s="5" t="s">
        <v>66</v>
      </c>
      <c r="T72" s="23" t="s">
        <v>67</v>
      </c>
      <c r="U72" s="5"/>
      <c r="V72" s="5"/>
      <c r="W72" s="5"/>
      <c r="X72" s="5"/>
      <c r="Y72" s="5"/>
      <c r="Z72" s="5" t="s">
        <v>68</v>
      </c>
      <c r="AA72" s="5" t="str">
        <f>0.17*(1+2/N70)</f>
        <v>0.34</v>
      </c>
      <c r="AC72" s="5"/>
      <c r="AD72" s="5" t="str">
        <f t="shared" ref="AD72:AD74" si="2">IF(AA72=MIN($AA$72:$AB$74),"(governs)","")</f>
        <v/>
      </c>
      <c r="AE72" s="5"/>
      <c r="AF72" s="5"/>
      <c r="AG72" s="5"/>
      <c r="AH72" s="91" t="s">
        <v>69</v>
      </c>
      <c r="AI72" s="5"/>
      <c r="AJ72" s="5"/>
      <c r="AK72" s="5"/>
      <c r="AL72" s="86"/>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row>
    <row r="73" ht="15.75" customHeight="1">
      <c r="A73" s="1"/>
      <c r="B73" s="1"/>
      <c r="C73" s="1"/>
      <c r="D73" s="1"/>
      <c r="E73" s="1"/>
      <c r="F73" s="1"/>
      <c r="G73" s="1"/>
      <c r="H73" s="1"/>
      <c r="I73" s="34"/>
      <c r="J73" s="5"/>
      <c r="K73" s="31"/>
      <c r="L73" s="31"/>
      <c r="M73" s="31"/>
      <c r="T73" s="23" t="s">
        <v>70</v>
      </c>
      <c r="U73" s="5"/>
      <c r="V73" s="5"/>
      <c r="W73" s="5"/>
      <c r="X73" s="5"/>
      <c r="Y73" s="5"/>
      <c r="Z73" s="5" t="s">
        <v>68</v>
      </c>
      <c r="AA73" s="5" t="str">
        <f>0.083*(K71*Y57/(Q69*1000))</f>
        <v>0.5225925926</v>
      </c>
      <c r="AC73" s="5"/>
      <c r="AD73" s="5" t="str">
        <f t="shared" si="2"/>
        <v/>
      </c>
      <c r="AE73" s="5"/>
      <c r="AF73" s="5"/>
      <c r="AG73" s="5"/>
      <c r="AH73" s="91" t="s">
        <v>71</v>
      </c>
      <c r="AI73" s="5"/>
      <c r="AJ73" s="5"/>
      <c r="AK73" s="5"/>
      <c r="AL73" s="86"/>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row>
    <row r="74" ht="15.75" customHeight="1">
      <c r="A74" s="1"/>
      <c r="B74" s="1"/>
      <c r="C74" s="1"/>
      <c r="D74" s="1"/>
      <c r="E74" s="1"/>
      <c r="F74" s="1"/>
      <c r="G74" s="1"/>
      <c r="H74" s="1"/>
      <c r="I74" s="34"/>
      <c r="J74" s="5"/>
      <c r="K74" s="5" t="s">
        <v>72</v>
      </c>
      <c r="L74" s="5"/>
      <c r="M74" s="5"/>
      <c r="T74" s="101">
        <v>0.33</v>
      </c>
      <c r="W74" s="5"/>
      <c r="X74" s="5"/>
      <c r="Y74" s="5"/>
      <c r="Z74" s="5" t="s">
        <v>68</v>
      </c>
      <c r="AA74" s="5">
        <v>0.33</v>
      </c>
      <c r="AC74" s="5"/>
      <c r="AD74" s="5" t="str">
        <f t="shared" si="2"/>
        <v>(governs)</v>
      </c>
      <c r="AE74" s="5"/>
      <c r="AF74" s="5"/>
      <c r="AG74" s="5"/>
      <c r="AH74" s="91" t="s">
        <v>73</v>
      </c>
      <c r="AI74" s="5"/>
      <c r="AJ74" s="5"/>
      <c r="AK74" s="5"/>
      <c r="AL74" s="86"/>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ht="4.5" customHeight="1">
      <c r="A75" s="1"/>
      <c r="B75" s="1"/>
      <c r="C75" s="1"/>
      <c r="D75" s="1"/>
      <c r="E75" s="1"/>
      <c r="F75" s="1"/>
      <c r="G75" s="1"/>
      <c r="H75" s="1"/>
      <c r="I75" s="34"/>
      <c r="J75" s="5"/>
      <c r="K75" s="5"/>
      <c r="L75" s="5"/>
      <c r="M75" s="5"/>
      <c r="N75" s="5"/>
      <c r="O75" s="5"/>
      <c r="P75" s="5"/>
      <c r="Q75" s="5"/>
      <c r="R75" s="2"/>
      <c r="S75" s="2"/>
      <c r="T75" s="2"/>
      <c r="U75" s="2"/>
      <c r="V75" s="2"/>
      <c r="W75" s="2"/>
      <c r="X75" s="5"/>
      <c r="Y75" s="5"/>
      <c r="Z75" s="5"/>
      <c r="AA75" s="5"/>
      <c r="AB75" s="5"/>
      <c r="AC75" s="5"/>
      <c r="AD75" s="5"/>
      <c r="AE75" s="5"/>
      <c r="AF75" s="5"/>
      <c r="AG75" s="5"/>
      <c r="AH75" s="5"/>
      <c r="AI75" s="5"/>
      <c r="AJ75" s="5"/>
      <c r="AK75" s="5"/>
      <c r="AL75" s="86"/>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ht="15.75" customHeight="1">
      <c r="A76" s="1"/>
      <c r="B76" s="1"/>
      <c r="C76" s="1"/>
      <c r="D76" s="1"/>
      <c r="E76" s="1"/>
      <c r="F76" s="1"/>
      <c r="G76" s="1"/>
      <c r="H76" s="1"/>
      <c r="I76" s="34"/>
      <c r="J76" s="5"/>
      <c r="K76" s="23" t="s">
        <v>74</v>
      </c>
      <c r="L76" s="5"/>
      <c r="M76" s="5"/>
      <c r="N76" s="5"/>
      <c r="O76" s="5"/>
      <c r="P76" s="5"/>
      <c r="Q76" s="5"/>
      <c r="R76" s="5"/>
      <c r="S76" s="5"/>
      <c r="T76" s="85" t="str">
        <f>P54*(K46*K47-(T36+(Y57/1000))*(T37+(Y57/1000)))</f>
        <v>1475.3 KN</v>
      </c>
      <c r="X76" s="5"/>
      <c r="Y76" s="5"/>
      <c r="Z76" s="5"/>
      <c r="AA76" s="5"/>
      <c r="AB76" s="5"/>
      <c r="AC76" s="5"/>
      <c r="AD76" s="5"/>
      <c r="AE76" s="5"/>
      <c r="AF76" s="5"/>
      <c r="AG76" s="5"/>
      <c r="AH76" s="5"/>
      <c r="AI76" s="5"/>
      <c r="AJ76" s="5"/>
      <c r="AK76" s="5"/>
      <c r="AL76" s="86"/>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ht="15.75" customHeight="1">
      <c r="A77" s="1"/>
      <c r="B77" s="1"/>
      <c r="C77" s="1"/>
      <c r="D77" s="1"/>
      <c r="E77" s="1"/>
      <c r="F77" s="1"/>
      <c r="G77" s="1"/>
      <c r="H77" s="1"/>
      <c r="I77" s="34"/>
      <c r="J77" s="5"/>
      <c r="K77" s="23" t="s">
        <v>75</v>
      </c>
      <c r="L77" s="5"/>
      <c r="M77" s="5"/>
      <c r="N77" s="5" t="str">
        <f>MIN(AA72:AB74)</f>
        <v>0.33</v>
      </c>
      <c r="P77" s="5"/>
      <c r="Q77" s="23"/>
      <c r="R77" s="23" t="s">
        <v>76</v>
      </c>
      <c r="S77" s="2"/>
      <c r="T77" s="85" t="str">
        <f>0.85*MIN(AA72:AB74)*(0.8*J34)^0.5*Q69*1000*Y57/1000</f>
        <v>2270.7 KN</v>
      </c>
      <c r="X77" s="2"/>
      <c r="Y77" s="23" t="str">
        <f>IF(T76&lt;T77,"&gt; Vu ….. safe","Unsafe")</f>
        <v>&gt; Vu ….. safe</v>
      </c>
      <c r="Z77" s="5"/>
      <c r="AA77" s="5"/>
      <c r="AB77" s="5"/>
      <c r="AC77" s="5"/>
      <c r="AD77" s="5"/>
      <c r="AE77" s="5"/>
      <c r="AF77" s="5"/>
      <c r="AG77" s="5"/>
      <c r="AH77" s="5"/>
      <c r="AI77" s="5"/>
      <c r="AJ77" s="5"/>
      <c r="AK77" s="5"/>
      <c r="AL77" s="86"/>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ht="4.5" customHeight="1">
      <c r="A78" s="1"/>
      <c r="B78" s="1"/>
      <c r="C78" s="1"/>
      <c r="D78" s="1"/>
      <c r="E78" s="1"/>
      <c r="F78" s="1"/>
      <c r="G78" s="1"/>
      <c r="H78" s="1"/>
      <c r="I78" s="34"/>
      <c r="J78" s="5"/>
      <c r="K78" s="5"/>
      <c r="L78" s="5"/>
      <c r="M78" s="5"/>
      <c r="N78" s="5"/>
      <c r="O78" s="5"/>
      <c r="P78" s="5"/>
      <c r="Q78" s="5"/>
      <c r="R78" s="5"/>
      <c r="S78" s="5"/>
      <c r="T78" s="5"/>
      <c r="U78" s="5"/>
      <c r="V78" s="5"/>
      <c r="W78" s="5"/>
      <c r="X78" s="2"/>
      <c r="Y78" s="5"/>
      <c r="Z78" s="5"/>
      <c r="AA78" s="5"/>
      <c r="AB78" s="5"/>
      <c r="AC78" s="5"/>
      <c r="AD78" s="5"/>
      <c r="AE78" s="5"/>
      <c r="AF78" s="5"/>
      <c r="AG78" s="5"/>
      <c r="AH78" s="5"/>
      <c r="AI78" s="5"/>
      <c r="AJ78" s="5"/>
      <c r="AK78" s="5"/>
      <c r="AL78" s="86"/>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ht="15.75" customHeight="1">
      <c r="A79" s="1"/>
      <c r="B79" s="1"/>
      <c r="C79" s="1"/>
      <c r="D79" s="1"/>
      <c r="E79" s="1"/>
      <c r="F79" s="1"/>
      <c r="G79" s="1"/>
      <c r="H79" s="1"/>
      <c r="I79" s="34"/>
      <c r="J79" s="83" t="s">
        <v>77</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86"/>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ht="4.5" customHeight="1">
      <c r="A80" s="1"/>
      <c r="B80" s="1"/>
      <c r="C80" s="1"/>
      <c r="D80" s="1"/>
      <c r="E80" s="1"/>
      <c r="F80" s="1"/>
      <c r="G80" s="1"/>
      <c r="H80" s="1"/>
      <c r="I80" s="34"/>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86"/>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row>
    <row r="81" ht="15.75" customHeight="1">
      <c r="A81" s="1"/>
      <c r="B81" s="1"/>
      <c r="C81" s="1"/>
      <c r="D81" s="1"/>
      <c r="E81" s="1"/>
      <c r="F81" s="1"/>
      <c r="G81" s="1"/>
      <c r="H81" s="1"/>
      <c r="I81" s="34"/>
      <c r="J81" s="5"/>
      <c r="K81" s="23" t="s">
        <v>78</v>
      </c>
      <c r="L81" s="5"/>
      <c r="M81" s="23"/>
      <c r="N81" s="23"/>
      <c r="O81" s="23"/>
      <c r="P81" s="23"/>
      <c r="Q81" s="5"/>
      <c r="R81" s="5"/>
      <c r="S81" s="5"/>
      <c r="T81" s="5"/>
      <c r="U81" s="5"/>
      <c r="V81" s="5"/>
      <c r="W81" s="5"/>
      <c r="X81" s="5"/>
      <c r="Y81" s="5"/>
      <c r="Z81" s="5"/>
      <c r="AA81" s="5"/>
      <c r="AB81" s="5"/>
      <c r="AC81" s="5"/>
      <c r="AD81" s="5"/>
      <c r="AE81" s="5"/>
      <c r="AF81" s="5"/>
      <c r="AG81" s="5"/>
      <c r="AH81" s="91" t="s">
        <v>79</v>
      </c>
      <c r="AI81" s="5"/>
      <c r="AJ81" s="5"/>
      <c r="AK81" s="5"/>
      <c r="AL81" s="86"/>
      <c r="AM81" s="1"/>
      <c r="AN81" s="1"/>
      <c r="AO81" s="1"/>
      <c r="AP81" s="1"/>
      <c r="AQ81" s="92"/>
      <c r="AR81" s="92"/>
      <c r="AS81" s="92"/>
      <c r="AT81" s="92"/>
      <c r="AU81" s="92"/>
      <c r="AV81" s="92"/>
      <c r="AW81" s="92"/>
      <c r="AX81" s="92"/>
      <c r="AY81" s="92"/>
      <c r="AZ81" s="92"/>
      <c r="BA81" s="92"/>
      <c r="BB81" s="92"/>
      <c r="BC81" s="92"/>
      <c r="BD81" s="92"/>
      <c r="BE81" s="92"/>
      <c r="BF81" s="92"/>
      <c r="BG81" s="92"/>
      <c r="BH81" s="1"/>
      <c r="BI81" s="1"/>
      <c r="BJ81" s="1"/>
      <c r="BK81" s="1"/>
      <c r="BL81" s="1"/>
      <c r="BM81" s="1"/>
      <c r="BN81" s="1"/>
      <c r="BO81" s="1"/>
      <c r="BP81" s="1"/>
      <c r="BQ81" s="1"/>
      <c r="BR81" s="1"/>
      <c r="BS81" s="1"/>
    </row>
    <row r="82" ht="15.75" customHeight="1">
      <c r="A82" s="1"/>
      <c r="B82" s="1"/>
      <c r="C82" s="1"/>
      <c r="D82" s="1"/>
      <c r="E82" s="1"/>
      <c r="F82" s="1"/>
      <c r="G82" s="1"/>
      <c r="H82" s="1"/>
      <c r="I82" s="34"/>
      <c r="J82" s="5"/>
      <c r="K82" s="23" t="s">
        <v>80</v>
      </c>
      <c r="L82" s="5"/>
      <c r="M82" s="23" t="str">
        <f>IF((0.8*J34)&lt;=28,0.85,IF((0.85-0.05*(((0.8*J34)-28)/7))&lt;0.65,0.65,(0.85-0.05*(((0.8*J34)-28)/7))))</f>
        <v>0.85</v>
      </c>
      <c r="P82" s="23"/>
      <c r="Q82" s="5"/>
      <c r="R82" s="5"/>
      <c r="S82" s="5"/>
      <c r="T82" s="5"/>
      <c r="U82" s="5"/>
      <c r="V82" s="5"/>
      <c r="W82" s="5"/>
      <c r="X82" s="5"/>
      <c r="Y82" s="5"/>
      <c r="Z82" s="5"/>
      <c r="AA82" s="5"/>
      <c r="AB82" s="5"/>
      <c r="AC82" s="5"/>
      <c r="AD82" s="5"/>
      <c r="AE82" s="5"/>
      <c r="AF82" s="5"/>
      <c r="AG82" s="5"/>
      <c r="AH82" s="5"/>
      <c r="AI82" s="5"/>
      <c r="AJ82" s="5"/>
      <c r="AK82" s="5"/>
      <c r="AL82" s="86"/>
      <c r="AM82" s="1"/>
      <c r="AN82" s="1"/>
      <c r="AO82" s="1"/>
      <c r="AP82" s="1"/>
      <c r="AQ82" s="92"/>
      <c r="AR82" s="92"/>
      <c r="AS82" s="92"/>
      <c r="AT82" s="92"/>
      <c r="AU82" s="92"/>
      <c r="AV82" s="92"/>
      <c r="AW82" s="92"/>
      <c r="AX82" s="92"/>
      <c r="AY82" s="92"/>
      <c r="AZ82" s="92"/>
      <c r="BA82" s="92"/>
      <c r="BB82" s="92"/>
      <c r="BC82" s="92"/>
      <c r="BD82" s="92"/>
      <c r="BE82" s="92"/>
      <c r="BF82" s="92"/>
      <c r="BG82" s="92"/>
      <c r="BH82" s="1"/>
      <c r="BI82" s="1"/>
      <c r="BJ82" s="1"/>
      <c r="BK82" s="1"/>
      <c r="BL82" s="1"/>
      <c r="BM82" s="1"/>
      <c r="BN82" s="1"/>
      <c r="BO82" s="1"/>
      <c r="BP82" s="1"/>
      <c r="BQ82" s="1"/>
      <c r="BR82" s="1"/>
      <c r="BS82" s="1"/>
    </row>
    <row r="83" ht="15.75" customHeight="1">
      <c r="A83" s="1"/>
      <c r="B83" s="1"/>
      <c r="C83" s="1"/>
      <c r="D83" s="1"/>
      <c r="E83" s="1"/>
      <c r="F83" s="1"/>
      <c r="G83" s="1"/>
      <c r="H83" s="1"/>
      <c r="I83" s="34"/>
      <c r="J83" s="5"/>
      <c r="K83" s="23" t="s">
        <v>81</v>
      </c>
      <c r="L83" s="5"/>
      <c r="M83" s="23" t="str">
        <f>MAX(IF(J36&lt;=420,0.0018,0.0018*(420/J36)),0.0014)</f>
        <v>0.0018</v>
      </c>
      <c r="Q83" s="5"/>
      <c r="R83" s="5"/>
      <c r="S83" s="5"/>
      <c r="T83" s="5"/>
      <c r="U83" s="5"/>
      <c r="V83" s="5"/>
      <c r="W83" s="5"/>
      <c r="X83" s="5"/>
      <c r="Y83" s="5"/>
      <c r="Z83" s="5"/>
      <c r="AA83" s="5"/>
      <c r="AB83" s="5"/>
      <c r="AC83" s="5"/>
      <c r="AD83" s="5"/>
      <c r="AE83" s="5"/>
      <c r="AF83" s="5"/>
      <c r="AG83" s="5"/>
      <c r="AH83" s="91" t="s">
        <v>82</v>
      </c>
      <c r="AI83" s="5"/>
      <c r="AJ83" s="5"/>
      <c r="AK83" s="5"/>
      <c r="AL83" s="86"/>
      <c r="AM83" s="1"/>
      <c r="AN83" s="1"/>
      <c r="AO83" s="1"/>
      <c r="AP83" s="1"/>
      <c r="AQ83" s="92"/>
      <c r="AR83" s="92"/>
      <c r="AS83" s="92"/>
      <c r="AT83" s="92"/>
      <c r="AU83" s="92"/>
      <c r="AV83" s="92"/>
      <c r="AW83" s="92"/>
      <c r="AX83" s="92"/>
      <c r="AY83" s="92"/>
      <c r="AZ83" s="92"/>
      <c r="BA83" s="92"/>
      <c r="BB83" s="92"/>
      <c r="BC83" s="92"/>
      <c r="BD83" s="92"/>
      <c r="BE83" s="92"/>
      <c r="BF83" s="92"/>
      <c r="BG83" s="92"/>
      <c r="BH83" s="1"/>
      <c r="BI83" s="1"/>
      <c r="BJ83" s="1"/>
      <c r="BK83" s="1"/>
      <c r="BL83" s="1"/>
      <c r="BM83" s="1"/>
      <c r="BN83" s="1"/>
      <c r="BO83" s="1"/>
      <c r="BP83" s="1"/>
      <c r="BQ83" s="1"/>
      <c r="BR83" s="1"/>
      <c r="BS83" s="1"/>
    </row>
    <row r="84" ht="4.5" customHeight="1">
      <c r="A84" s="1"/>
      <c r="B84" s="1"/>
      <c r="C84" s="1"/>
      <c r="D84" s="1"/>
      <c r="E84" s="1"/>
      <c r="F84" s="1"/>
      <c r="G84" s="1"/>
      <c r="H84" s="1"/>
      <c r="I84" s="34"/>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86"/>
      <c r="AM84" s="1"/>
      <c r="AN84" s="1"/>
      <c r="AO84" s="1"/>
      <c r="AP84" s="1"/>
      <c r="AQ84" s="92"/>
      <c r="AR84" s="92"/>
      <c r="AS84" s="92"/>
      <c r="AT84" s="92"/>
      <c r="AU84" s="92"/>
      <c r="AV84" s="92"/>
      <c r="AW84" s="92"/>
      <c r="AX84" s="92"/>
      <c r="AY84" s="92"/>
      <c r="AZ84" s="92"/>
      <c r="BA84" s="92"/>
      <c r="BB84" s="92"/>
      <c r="BC84" s="92"/>
      <c r="BD84" s="92"/>
      <c r="BE84" s="92"/>
      <c r="BF84" s="92"/>
      <c r="BG84" s="92"/>
      <c r="BH84" s="1"/>
      <c r="BI84" s="1"/>
      <c r="BJ84" s="1"/>
      <c r="BK84" s="1"/>
      <c r="BL84" s="1"/>
      <c r="BM84" s="1"/>
      <c r="BN84" s="1"/>
      <c r="BO84" s="1"/>
      <c r="BP84" s="1"/>
      <c r="BQ84" s="1"/>
      <c r="BR84" s="1"/>
      <c r="BS84" s="1"/>
    </row>
    <row r="85" ht="15.75" customHeight="1">
      <c r="A85" s="1"/>
      <c r="B85" s="1"/>
      <c r="C85" s="1"/>
      <c r="D85" s="1"/>
      <c r="E85" s="1"/>
      <c r="F85" s="1"/>
      <c r="G85" s="1"/>
      <c r="H85" s="1"/>
      <c r="I85" s="34"/>
      <c r="J85" s="5"/>
      <c r="K85" s="23" t="s">
        <v>83</v>
      </c>
      <c r="M85" s="5">
        <v>0.75</v>
      </c>
      <c r="O85" s="102" t="s">
        <v>84</v>
      </c>
      <c r="P85" s="31"/>
      <c r="Q85" s="31"/>
      <c r="R85" s="5" t="s">
        <v>85</v>
      </c>
      <c r="S85" s="103" t="s">
        <v>86</v>
      </c>
      <c r="T85" s="102">
        <v>600.0</v>
      </c>
      <c r="U85" s="31"/>
      <c r="V85" s="31"/>
      <c r="W85" s="103" t="s">
        <v>87</v>
      </c>
      <c r="X85" s="104" t="s">
        <v>68</v>
      </c>
      <c r="Y85" s="23" t="str">
        <f>0.75*(0.85*(0.8*J34)/J36)*M82*(600/(600+J36))</f>
        <v>0.03166801948</v>
      </c>
      <c r="AB85" s="2"/>
      <c r="AC85" s="5"/>
      <c r="AD85" s="5"/>
      <c r="AE85" s="5"/>
      <c r="AF85" s="5"/>
      <c r="AG85" s="5"/>
      <c r="AH85" s="5"/>
      <c r="AI85" s="5"/>
      <c r="AJ85" s="5"/>
      <c r="AK85" s="5"/>
      <c r="AL85" s="86"/>
      <c r="AM85" s="1"/>
      <c r="AN85" s="1"/>
      <c r="AO85" s="1"/>
      <c r="AP85" s="1"/>
      <c r="AQ85" s="92"/>
      <c r="AR85" s="92"/>
      <c r="AS85" s="92"/>
      <c r="AT85" s="92"/>
      <c r="AU85" s="92"/>
      <c r="AV85" s="92"/>
      <c r="AW85" s="92"/>
      <c r="AX85" s="92"/>
      <c r="AY85" s="92"/>
      <c r="AZ85" s="92"/>
      <c r="BA85" s="92"/>
      <c r="BB85" s="92"/>
      <c r="BC85" s="92"/>
      <c r="BD85" s="92"/>
      <c r="BE85" s="92"/>
      <c r="BF85" s="92"/>
      <c r="BG85" s="92"/>
      <c r="BH85" s="1"/>
      <c r="BI85" s="1"/>
      <c r="BJ85" s="1"/>
      <c r="BK85" s="1"/>
      <c r="BL85" s="1"/>
      <c r="BM85" s="1"/>
      <c r="BN85" s="1"/>
      <c r="BO85" s="1"/>
      <c r="BP85" s="1"/>
      <c r="BQ85" s="1"/>
      <c r="BR85" s="1"/>
      <c r="BS85" s="1"/>
    </row>
    <row r="86" ht="15.75" customHeight="1">
      <c r="A86" s="1"/>
      <c r="B86" s="1"/>
      <c r="C86" s="1"/>
      <c r="D86" s="1"/>
      <c r="E86" s="1"/>
      <c r="F86" s="1"/>
      <c r="G86" s="1"/>
      <c r="H86" s="1"/>
      <c r="I86" s="34"/>
      <c r="J86" s="5"/>
      <c r="O86" s="5" t="s">
        <v>88</v>
      </c>
      <c r="T86" s="2" t="s">
        <v>89</v>
      </c>
      <c r="U86" s="5"/>
      <c r="V86" s="5"/>
      <c r="AB86" s="2"/>
      <c r="AC86" s="5"/>
      <c r="AD86" s="5"/>
      <c r="AE86" s="5"/>
      <c r="AF86" s="5"/>
      <c r="AG86" s="5"/>
      <c r="AH86" s="5"/>
      <c r="AI86" s="5"/>
      <c r="AJ86" s="5"/>
      <c r="AK86" s="5"/>
      <c r="AL86" s="86"/>
      <c r="AM86" s="1"/>
      <c r="AN86" s="1"/>
      <c r="AO86" s="1"/>
      <c r="AP86" s="1"/>
      <c r="AQ86" s="96"/>
      <c r="AR86" s="96"/>
      <c r="AS86" s="96"/>
      <c r="AT86" s="96"/>
      <c r="AU86" s="96"/>
      <c r="AV86" s="96"/>
      <c r="AW86" s="96"/>
      <c r="AX86" s="96"/>
      <c r="AY86" s="96"/>
      <c r="AZ86" s="96"/>
      <c r="BA86" s="96"/>
      <c r="BB86" s="96"/>
      <c r="BC86" s="96"/>
      <c r="BD86" s="96"/>
      <c r="BE86" s="96"/>
      <c r="BF86" s="96"/>
      <c r="BG86" s="96"/>
      <c r="BH86" s="1"/>
      <c r="BI86" s="1"/>
      <c r="BJ86" s="1"/>
      <c r="BK86" s="1"/>
      <c r="BL86" s="1"/>
      <c r="BM86" s="1"/>
      <c r="BN86" s="1"/>
      <c r="BO86" s="1"/>
      <c r="BP86" s="1"/>
      <c r="BQ86" s="1"/>
      <c r="BR86" s="1"/>
      <c r="BS86" s="1"/>
    </row>
    <row r="87" ht="4.5" customHeight="1">
      <c r="A87" s="1"/>
      <c r="B87" s="1"/>
      <c r="C87" s="1"/>
      <c r="D87" s="1"/>
      <c r="E87" s="1"/>
      <c r="F87" s="1"/>
      <c r="G87" s="1"/>
      <c r="H87" s="1"/>
      <c r="I87" s="34"/>
      <c r="J87" s="5"/>
      <c r="K87" s="5"/>
      <c r="L87" s="5"/>
      <c r="M87" s="5"/>
      <c r="N87" s="5"/>
      <c r="O87" s="5"/>
      <c r="P87" s="2"/>
      <c r="Q87" s="2"/>
      <c r="R87" s="2"/>
      <c r="S87" s="2"/>
      <c r="T87" s="2"/>
      <c r="U87" s="2"/>
      <c r="V87" s="5"/>
      <c r="W87" s="5"/>
      <c r="X87" s="5"/>
      <c r="Y87" s="5"/>
      <c r="Z87" s="5"/>
      <c r="AA87" s="5"/>
      <c r="AB87" s="5"/>
      <c r="AC87" s="5"/>
      <c r="AD87" s="5"/>
      <c r="AE87" s="5"/>
      <c r="AF87" s="5"/>
      <c r="AG87" s="5"/>
      <c r="AH87" s="5"/>
      <c r="AI87" s="5"/>
      <c r="AJ87" s="5"/>
      <c r="AK87" s="5"/>
      <c r="AL87" s="86"/>
      <c r="AM87" s="1"/>
      <c r="AN87" s="1"/>
      <c r="AO87" s="1"/>
      <c r="AP87" s="1"/>
      <c r="AQ87" s="96"/>
      <c r="AR87" s="96"/>
      <c r="AS87" s="96"/>
      <c r="AT87" s="96"/>
      <c r="AU87" s="96"/>
      <c r="AV87" s="96"/>
      <c r="AW87" s="96"/>
      <c r="AX87" s="96"/>
      <c r="AY87" s="96"/>
      <c r="AZ87" s="96"/>
      <c r="BA87" s="96"/>
      <c r="BB87" s="96"/>
      <c r="BC87" s="96"/>
      <c r="BD87" s="96"/>
      <c r="BE87" s="96"/>
      <c r="BF87" s="96"/>
      <c r="BG87" s="96"/>
      <c r="BH87" s="1"/>
      <c r="BI87" s="1"/>
      <c r="BJ87" s="1"/>
      <c r="BK87" s="1"/>
      <c r="BL87" s="1"/>
      <c r="BM87" s="1"/>
      <c r="BN87" s="1"/>
      <c r="BO87" s="1"/>
      <c r="BP87" s="1"/>
      <c r="BQ87" s="1"/>
      <c r="BR87" s="1"/>
      <c r="BS87" s="1"/>
    </row>
    <row r="88" ht="15.75" customHeight="1">
      <c r="A88" s="1"/>
      <c r="B88" s="1"/>
      <c r="C88" s="1"/>
      <c r="D88" s="1"/>
      <c r="E88" s="1"/>
      <c r="F88" s="1"/>
      <c r="G88" s="1"/>
      <c r="H88" s="1"/>
      <c r="I88" s="34"/>
      <c r="J88" s="5"/>
      <c r="K88" s="105" t="s">
        <v>90</v>
      </c>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86"/>
      <c r="AM88" s="1"/>
      <c r="AN88" s="1"/>
      <c r="AO88" s="1"/>
      <c r="AP88" s="1"/>
      <c r="AQ88" s="96"/>
      <c r="AR88" s="96"/>
      <c r="AS88" s="96"/>
      <c r="AT88" s="96"/>
      <c r="AU88" s="96"/>
      <c r="AV88" s="96"/>
      <c r="AW88" s="96"/>
      <c r="AX88" s="96"/>
      <c r="AY88" s="96"/>
      <c r="AZ88" s="96"/>
      <c r="BA88" s="96"/>
      <c r="BB88" s="96"/>
      <c r="BC88" s="96"/>
      <c r="BD88" s="96"/>
      <c r="BE88" s="96"/>
      <c r="BF88" s="96"/>
      <c r="BG88" s="96"/>
      <c r="BH88" s="1"/>
      <c r="BI88" s="1"/>
      <c r="BJ88" s="1"/>
      <c r="BK88" s="1"/>
      <c r="BL88" s="1"/>
      <c r="BM88" s="1"/>
      <c r="BN88" s="1"/>
      <c r="BO88" s="1"/>
      <c r="BP88" s="1"/>
      <c r="BQ88" s="1"/>
      <c r="BR88" s="1"/>
      <c r="BS88" s="1"/>
    </row>
    <row r="89" ht="4.5" customHeight="1">
      <c r="A89" s="1"/>
      <c r="B89" s="1"/>
      <c r="C89" s="1"/>
      <c r="D89" s="1"/>
      <c r="E89" s="1"/>
      <c r="F89" s="1"/>
      <c r="G89" s="1"/>
      <c r="H89" s="1"/>
      <c r="I89" s="34"/>
      <c r="J89" s="5"/>
      <c r="K89" s="23"/>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86"/>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row>
    <row r="90" ht="15.75" customHeight="1">
      <c r="A90" s="1"/>
      <c r="B90" s="1"/>
      <c r="C90" s="1"/>
      <c r="D90" s="1"/>
      <c r="E90" s="1"/>
      <c r="F90" s="1"/>
      <c r="G90" s="1"/>
      <c r="H90" s="1"/>
      <c r="I90" s="34"/>
      <c r="J90" s="5"/>
      <c r="K90" s="23" t="s">
        <v>91</v>
      </c>
      <c r="L90" s="5"/>
      <c r="M90" s="5"/>
      <c r="N90" s="5"/>
      <c r="O90" s="5"/>
      <c r="P90" s="5"/>
      <c r="Q90" s="5"/>
      <c r="R90" s="106" t="str">
        <f>P54*K47*(K46-T36)^2/8</f>
        <v>374.7 KN.m.</v>
      </c>
      <c r="W90" s="5"/>
      <c r="X90" s="5"/>
      <c r="Y90" s="5"/>
      <c r="Z90" s="5"/>
      <c r="AA90" s="5"/>
      <c r="AB90" s="5"/>
      <c r="AC90" s="5"/>
      <c r="AD90" s="5"/>
      <c r="AE90" s="5"/>
      <c r="AF90" s="5"/>
      <c r="AG90" s="5"/>
      <c r="AH90" s="91" t="s">
        <v>92</v>
      </c>
      <c r="AI90" s="5"/>
      <c r="AJ90" s="5"/>
      <c r="AK90" s="5"/>
      <c r="AL90" s="86"/>
      <c r="AM90" s="1"/>
      <c r="AN90" s="1"/>
      <c r="AO90" s="1"/>
      <c r="AP90" s="1"/>
      <c r="AQ90" s="92"/>
      <c r="AR90" s="92"/>
      <c r="AS90" s="92"/>
      <c r="AT90" s="92"/>
      <c r="AU90" s="92"/>
      <c r="AV90" s="92"/>
      <c r="AW90" s="92"/>
      <c r="AX90" s="92"/>
      <c r="AY90" s="92"/>
      <c r="AZ90" s="92"/>
      <c r="BA90" s="92"/>
      <c r="BB90" s="92"/>
      <c r="BC90" s="92"/>
      <c r="BD90" s="92"/>
      <c r="BE90" s="92"/>
      <c r="BF90" s="92"/>
      <c r="BG90" s="92"/>
      <c r="BH90" s="1"/>
      <c r="BI90" s="1"/>
      <c r="BJ90" s="1"/>
      <c r="BK90" s="1"/>
      <c r="BL90" s="1"/>
      <c r="BM90" s="1"/>
      <c r="BN90" s="1"/>
      <c r="BO90" s="1"/>
      <c r="BP90" s="1"/>
      <c r="BQ90" s="1"/>
      <c r="BR90" s="1"/>
      <c r="BS90" s="1"/>
    </row>
    <row r="91" ht="15.75" customHeight="1">
      <c r="A91" s="1"/>
      <c r="B91" s="1"/>
      <c r="C91" s="1"/>
      <c r="D91" s="1"/>
      <c r="E91" s="1"/>
      <c r="F91" s="1"/>
      <c r="G91" s="1"/>
      <c r="H91" s="1"/>
      <c r="I91" s="34"/>
      <c r="J91" s="5"/>
      <c r="K91" s="23" t="s">
        <v>93</v>
      </c>
      <c r="M91" s="102" t="s">
        <v>94</v>
      </c>
      <c r="N91" s="31"/>
      <c r="O91" s="31"/>
      <c r="P91" s="104" t="s">
        <v>68</v>
      </c>
      <c r="Q91" s="23" t="str">
        <f>R90*1000000/(0.9*K47*1000*Y57^2)</f>
        <v>0.6811401367</v>
      </c>
      <c r="T91" s="2"/>
      <c r="U91" s="2"/>
      <c r="V91" s="5"/>
      <c r="W91" s="5"/>
      <c r="X91" s="5"/>
      <c r="Y91" s="5"/>
      <c r="Z91" s="5"/>
      <c r="AA91" s="5"/>
      <c r="AB91" s="5"/>
      <c r="AC91" s="5"/>
      <c r="AD91" s="5"/>
      <c r="AE91" s="5"/>
      <c r="AF91" s="5"/>
      <c r="AG91" s="5"/>
      <c r="AH91" s="5"/>
      <c r="AI91" s="5"/>
      <c r="AJ91" s="5"/>
      <c r="AK91" s="5"/>
      <c r="AL91" s="86"/>
      <c r="AM91" s="1"/>
      <c r="AN91" s="1"/>
      <c r="AO91" s="1"/>
      <c r="AP91" s="1"/>
      <c r="AQ91" s="92"/>
      <c r="AR91" s="92"/>
      <c r="AS91" s="92"/>
      <c r="AT91" s="92"/>
      <c r="AU91" s="92"/>
      <c r="AV91" s="92"/>
      <c r="AW91" s="92"/>
      <c r="AX91" s="92"/>
      <c r="AY91" s="92"/>
      <c r="AZ91" s="92"/>
      <c r="BA91" s="92"/>
      <c r="BB91" s="92"/>
      <c r="BC91" s="92"/>
      <c r="BD91" s="92"/>
      <c r="BE91" s="92"/>
      <c r="BF91" s="92"/>
      <c r="BG91" s="92"/>
      <c r="BH91" s="1"/>
      <c r="BI91" s="1"/>
      <c r="BJ91" s="1"/>
      <c r="BK91" s="1"/>
      <c r="BL91" s="1"/>
      <c r="BM91" s="1"/>
      <c r="BN91" s="1"/>
      <c r="BO91" s="1"/>
      <c r="BP91" s="1"/>
      <c r="BQ91" s="1"/>
      <c r="BR91" s="1"/>
      <c r="BS91" s="1"/>
    </row>
    <row r="92" ht="15.75" customHeight="1">
      <c r="A92" s="1"/>
      <c r="B92" s="1"/>
      <c r="C92" s="1"/>
      <c r="D92" s="1"/>
      <c r="E92" s="1"/>
      <c r="F92" s="1"/>
      <c r="G92" s="1"/>
      <c r="H92" s="1"/>
      <c r="I92" s="34"/>
      <c r="J92" s="5"/>
      <c r="M92" s="5" t="s">
        <v>95</v>
      </c>
      <c r="T92" s="2"/>
      <c r="U92" s="2"/>
      <c r="V92" s="5"/>
      <c r="W92" s="5"/>
      <c r="X92" s="5"/>
      <c r="Y92" s="5"/>
      <c r="Z92" s="5"/>
      <c r="AA92" s="5"/>
      <c r="AB92" s="5"/>
      <c r="AC92" s="5"/>
      <c r="AD92" s="5"/>
      <c r="AE92" s="5"/>
      <c r="AF92" s="5"/>
      <c r="AG92" s="5"/>
      <c r="AH92" s="5"/>
      <c r="AI92" s="5"/>
      <c r="AJ92" s="5"/>
      <c r="AK92" s="5"/>
      <c r="AL92" s="86"/>
      <c r="AM92" s="1"/>
      <c r="AN92" s="1"/>
      <c r="AO92" s="1"/>
      <c r="AP92" s="1"/>
      <c r="AQ92" s="92"/>
      <c r="AR92" s="92"/>
      <c r="AS92" s="92"/>
      <c r="AT92" s="92"/>
      <c r="AU92" s="92"/>
      <c r="AV92" s="92"/>
      <c r="AW92" s="92"/>
      <c r="AX92" s="92"/>
      <c r="AY92" s="92"/>
      <c r="AZ92" s="92"/>
      <c r="BA92" s="92"/>
      <c r="BB92" s="92"/>
      <c r="BC92" s="92"/>
      <c r="BD92" s="92"/>
      <c r="BE92" s="92"/>
      <c r="BF92" s="92"/>
      <c r="BG92" s="92"/>
      <c r="BH92" s="1"/>
      <c r="BI92" s="1"/>
      <c r="BJ92" s="1"/>
      <c r="BK92" s="1"/>
      <c r="BL92" s="1"/>
      <c r="BM92" s="1"/>
      <c r="BN92" s="1"/>
      <c r="BO92" s="1"/>
      <c r="BP92" s="1"/>
      <c r="BQ92" s="1"/>
      <c r="BR92" s="1"/>
      <c r="BS92" s="1"/>
    </row>
    <row r="93" ht="15.75" customHeight="1">
      <c r="A93" s="1"/>
      <c r="B93" s="1"/>
      <c r="C93" s="1"/>
      <c r="D93" s="1"/>
      <c r="E93" s="1"/>
      <c r="F93" s="1"/>
      <c r="G93" s="1"/>
      <c r="H93" s="1"/>
      <c r="I93" s="34"/>
      <c r="J93" s="5"/>
      <c r="K93" s="23" t="s">
        <v>96</v>
      </c>
      <c r="M93" s="102" t="s">
        <v>84</v>
      </c>
      <c r="N93" s="31"/>
      <c r="O93" s="31"/>
      <c r="P93" s="103" t="s">
        <v>86</v>
      </c>
      <c r="Q93" s="5"/>
      <c r="R93" s="5"/>
      <c r="S93" s="5"/>
      <c r="T93" s="5"/>
      <c r="U93" s="5"/>
      <c r="V93" s="5"/>
      <c r="W93" s="103" t="s">
        <v>87</v>
      </c>
      <c r="X93" s="104" t="s">
        <v>68</v>
      </c>
      <c r="Y93" s="23" t="str">
        <f>(0.85*(0.8*J34)/J36)*(1-(1-(2*Q91/(0.85*(0.8*J34))))^0.5)</f>
        <v>0.002474670765</v>
      </c>
      <c r="AB93" s="2"/>
      <c r="AC93" s="2"/>
      <c r="AD93" s="2" t="str">
        <f>IF(AND(Y93&gt;M83,Y93&lt;Y85),"",IF(Y93&lt;M83,"Use minimum reinforcement","Unsafe"))</f>
        <v/>
      </c>
      <c r="AE93" s="2"/>
      <c r="AF93" s="2"/>
      <c r="AG93" s="2"/>
      <c r="AH93" s="2"/>
      <c r="AI93" s="2"/>
      <c r="AJ93" s="5"/>
      <c r="AK93" s="5"/>
      <c r="AL93" s="86"/>
      <c r="AM93" s="1"/>
      <c r="AN93" s="1"/>
      <c r="AO93" s="1"/>
      <c r="AP93" s="1"/>
      <c r="AQ93" s="92"/>
      <c r="AR93" s="92"/>
      <c r="AS93" s="92"/>
      <c r="AT93" s="92"/>
      <c r="AU93" s="92"/>
      <c r="AV93" s="92"/>
      <c r="AW93" s="92"/>
      <c r="AX93" s="92"/>
      <c r="AY93" s="92"/>
      <c r="AZ93" s="92"/>
      <c r="BA93" s="92"/>
      <c r="BB93" s="92"/>
      <c r="BC93" s="92"/>
      <c r="BD93" s="92"/>
      <c r="BE93" s="92"/>
      <c r="BF93" s="92"/>
      <c r="BG93" s="92"/>
      <c r="BH93" s="1"/>
      <c r="BI93" s="1"/>
      <c r="BJ93" s="1"/>
      <c r="BK93" s="1"/>
      <c r="BL93" s="1"/>
      <c r="BM93" s="1"/>
      <c r="BN93" s="1"/>
      <c r="BO93" s="1"/>
      <c r="BP93" s="1"/>
      <c r="BQ93" s="1"/>
      <c r="BR93" s="1"/>
      <c r="BS93" s="1"/>
    </row>
    <row r="94" ht="15.75" customHeight="1">
      <c r="A94" s="1"/>
      <c r="B94" s="1"/>
      <c r="C94" s="1"/>
      <c r="D94" s="1"/>
      <c r="E94" s="1"/>
      <c r="F94" s="1"/>
      <c r="G94" s="1"/>
      <c r="H94" s="1"/>
      <c r="I94" s="34"/>
      <c r="J94" s="5"/>
      <c r="M94" s="5" t="s">
        <v>88</v>
      </c>
      <c r="S94" s="5"/>
      <c r="T94" s="5"/>
      <c r="U94" s="5"/>
      <c r="V94" s="5"/>
      <c r="AB94" s="2"/>
      <c r="AC94" s="2"/>
      <c r="AD94" s="2"/>
      <c r="AE94" s="2"/>
      <c r="AF94" s="2"/>
      <c r="AG94" s="2"/>
      <c r="AH94" s="2"/>
      <c r="AI94" s="2"/>
      <c r="AJ94" s="5"/>
      <c r="AK94" s="5"/>
      <c r="AL94" s="86"/>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row>
    <row r="95" ht="15.75" customHeight="1">
      <c r="A95" s="1"/>
      <c r="B95" s="1"/>
      <c r="C95" s="1"/>
      <c r="D95" s="1"/>
      <c r="E95" s="1"/>
      <c r="F95" s="1"/>
      <c r="G95" s="1"/>
      <c r="H95" s="1"/>
      <c r="I95" s="34"/>
      <c r="J95" s="5"/>
      <c r="K95" s="23" t="s">
        <v>97</v>
      </c>
      <c r="L95" s="5"/>
      <c r="M95" s="1"/>
      <c r="N95" s="1"/>
      <c r="O95" s="1"/>
      <c r="P95" s="1"/>
      <c r="Q95" s="1"/>
      <c r="R95" s="5" t="str">
        <f>Y93*(Y57/U56)</f>
        <v>0.00210347015</v>
      </c>
      <c r="U95" s="1"/>
      <c r="V95" s="1"/>
      <c r="W95" s="1"/>
      <c r="X95" s="1"/>
      <c r="Y95" s="23" t="str">
        <f>IF(R95&gt;M83,"ρ &gt; ρ min…...safe","ρ &lt; ρ min……take ρ = ρ min")</f>
        <v>ρ &gt; ρ min…...safe</v>
      </c>
      <c r="Z95" s="5"/>
      <c r="AA95" s="5"/>
      <c r="AB95" s="5"/>
      <c r="AC95" s="5"/>
      <c r="AD95" s="5"/>
      <c r="AE95" s="5"/>
      <c r="AF95" s="5"/>
      <c r="AG95" s="5"/>
      <c r="AH95" s="91" t="s">
        <v>82</v>
      </c>
      <c r="AI95" s="5"/>
      <c r="AJ95" s="5"/>
      <c r="AK95" s="5"/>
      <c r="AL95" s="86"/>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row>
    <row r="96" ht="15.75" customHeight="1">
      <c r="A96" s="1"/>
      <c r="B96" s="1"/>
      <c r="C96" s="1"/>
      <c r="D96" s="1"/>
      <c r="E96" s="1"/>
      <c r="F96" s="1"/>
      <c r="G96" s="1"/>
      <c r="H96" s="1"/>
      <c r="I96" s="34"/>
      <c r="J96" s="5"/>
      <c r="K96" s="23"/>
      <c r="L96" s="5"/>
      <c r="M96" s="1"/>
      <c r="N96" s="1"/>
      <c r="O96" s="1"/>
      <c r="P96" s="1"/>
      <c r="Q96" s="1"/>
      <c r="R96" s="5"/>
      <c r="S96" s="5"/>
      <c r="T96" s="5"/>
      <c r="U96" s="1"/>
      <c r="V96" s="1"/>
      <c r="W96" s="1"/>
      <c r="X96" s="1"/>
      <c r="Y96" s="5" t="s">
        <v>43</v>
      </c>
      <c r="Z96" s="5"/>
      <c r="AA96" s="5"/>
      <c r="AB96" s="5"/>
      <c r="AC96" s="5"/>
      <c r="AD96" s="5"/>
      <c r="AE96" s="5"/>
      <c r="AF96" s="5"/>
      <c r="AG96" s="5"/>
      <c r="AH96" s="5"/>
      <c r="AI96" s="5"/>
      <c r="AJ96" s="5"/>
      <c r="AK96" s="5"/>
      <c r="AL96" s="86"/>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row>
    <row r="97" ht="15.75" customHeight="1">
      <c r="A97" s="1"/>
      <c r="B97" s="1"/>
      <c r="C97" s="1"/>
      <c r="D97" s="1"/>
      <c r="E97" s="1"/>
      <c r="F97" s="1"/>
      <c r="G97" s="1"/>
      <c r="H97" s="1"/>
      <c r="I97" s="34"/>
      <c r="J97" s="5"/>
      <c r="K97" s="23" t="s">
        <v>98</v>
      </c>
      <c r="L97" s="5"/>
      <c r="M97" s="5"/>
      <c r="N97" s="5"/>
      <c r="O97" s="107" t="str">
        <f>IF(R95&gt;M83,Y93,M83)*K47*1000*Y57</f>
        <v>2965.9  mm²</v>
      </c>
      <c r="T97" s="5"/>
      <c r="U97" s="5"/>
      <c r="V97" s="5"/>
      <c r="W97" s="5"/>
      <c r="X97" s="5"/>
      <c r="Y97" s="5"/>
      <c r="Z97" s="5"/>
      <c r="AA97" s="5"/>
      <c r="AB97" s="5"/>
      <c r="AC97" s="5"/>
      <c r="AD97" s="5"/>
      <c r="AE97" s="5"/>
      <c r="AF97" s="5"/>
      <c r="AG97" s="5"/>
      <c r="AH97" s="5"/>
      <c r="AI97" s="5"/>
      <c r="AJ97" s="5"/>
      <c r="AK97" s="5"/>
      <c r="AL97" s="86"/>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row>
    <row r="98" ht="15.75" customHeight="1">
      <c r="A98" s="1"/>
      <c r="B98" s="1"/>
      <c r="C98" s="1"/>
      <c r="D98" s="1"/>
      <c r="E98" s="1"/>
      <c r="F98" s="1"/>
      <c r="G98" s="1"/>
      <c r="H98" s="1"/>
      <c r="I98" s="34"/>
      <c r="J98" s="5"/>
      <c r="K98" s="108" t="str">
        <f>ROUNDUP(O97/(3.14*O22^2*0.25),0)</f>
        <v>Use  10</v>
      </c>
      <c r="N98" s="109" t="str">
        <f>O22</f>
        <v>Ø20</v>
      </c>
      <c r="P98" s="23" t="s">
        <v>99</v>
      </c>
      <c r="Q98" s="5"/>
      <c r="R98" s="110" t="str">
        <f>K98*3.14*N98^2*0.25</f>
        <v>3140.0  mm² )</v>
      </c>
      <c r="W98" s="5"/>
      <c r="X98" s="5"/>
      <c r="Y98" s="5"/>
      <c r="Z98" s="5"/>
      <c r="AA98" s="5"/>
      <c r="AB98" s="5"/>
      <c r="AC98" s="5"/>
      <c r="AD98" s="5"/>
      <c r="AE98" s="5"/>
      <c r="AF98" s="5"/>
      <c r="AG98" s="5"/>
      <c r="AH98" s="5"/>
      <c r="AI98" s="5"/>
      <c r="AJ98" s="5"/>
      <c r="AK98" s="5"/>
      <c r="AL98" s="86"/>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row>
    <row r="99" ht="15.75" customHeight="1">
      <c r="A99" s="1"/>
      <c r="B99" s="1"/>
      <c r="C99" s="1"/>
      <c r="D99" s="1"/>
      <c r="E99" s="1"/>
      <c r="F99" s="1"/>
      <c r="G99" s="1"/>
      <c r="H99" s="1"/>
      <c r="I99" s="34"/>
      <c r="J99" s="5"/>
      <c r="K99" s="111" t="s">
        <v>100</v>
      </c>
      <c r="L99" s="108"/>
      <c r="M99" s="108"/>
      <c r="N99" s="109"/>
      <c r="O99" s="23"/>
      <c r="P99" s="97" t="str">
        <f>(K47*1000-2*J37-O22)/(K98-1)</f>
        <v>243 mm</v>
      </c>
      <c r="S99" s="1"/>
      <c r="T99" s="110"/>
      <c r="U99" s="110"/>
      <c r="V99" s="110"/>
      <c r="W99" s="5"/>
      <c r="X99" s="5"/>
      <c r="Y99" s="112" t="str">
        <f>IF(P99&lt;=450,"&lt; 450 mm…...safe","&gt; 450 mm…...decrease diameter")</f>
        <v>&lt; 450 mm…...safe</v>
      </c>
      <c r="Z99" s="5"/>
      <c r="AA99" s="5"/>
      <c r="AB99" s="5"/>
      <c r="AC99" s="5"/>
      <c r="AD99" s="5"/>
      <c r="AE99" s="5"/>
      <c r="AF99" s="5"/>
      <c r="AG99" s="5"/>
      <c r="AH99" s="91" t="s">
        <v>101</v>
      </c>
      <c r="AI99" s="5"/>
      <c r="AJ99" s="5"/>
      <c r="AK99" s="5"/>
      <c r="AL99" s="86"/>
      <c r="AM99" s="1"/>
      <c r="AN99" s="1"/>
      <c r="AO99" s="1"/>
      <c r="AP99" s="1"/>
      <c r="AQ99" s="92"/>
      <c r="AR99" s="92"/>
      <c r="AS99" s="92"/>
      <c r="AT99" s="92"/>
      <c r="AU99" s="92"/>
      <c r="AV99" s="92"/>
      <c r="AW99" s="92"/>
      <c r="AX99" s="92"/>
      <c r="AY99" s="92"/>
      <c r="AZ99" s="92"/>
      <c r="BA99" s="92"/>
      <c r="BB99" s="92"/>
      <c r="BC99" s="92"/>
      <c r="BD99" s="92"/>
      <c r="BE99" s="92"/>
      <c r="BF99" s="92"/>
      <c r="BG99" s="92"/>
      <c r="BH99" s="1"/>
      <c r="BI99" s="1"/>
      <c r="BJ99" s="1"/>
      <c r="BK99" s="1"/>
      <c r="BL99" s="1"/>
      <c r="BM99" s="1"/>
      <c r="BN99" s="1"/>
      <c r="BO99" s="1"/>
      <c r="BP99" s="1"/>
      <c r="BQ99" s="1"/>
      <c r="BR99" s="1"/>
      <c r="BS99" s="1"/>
    </row>
    <row r="100" ht="4.5" customHeight="1">
      <c r="A100" s="1"/>
      <c r="B100" s="1"/>
      <c r="C100" s="1"/>
      <c r="D100" s="1"/>
      <c r="E100" s="1"/>
      <c r="F100" s="1"/>
      <c r="G100" s="1"/>
      <c r="H100" s="1"/>
      <c r="I100" s="34"/>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86"/>
      <c r="AM100" s="1"/>
      <c r="AN100" s="1"/>
      <c r="AO100" s="1"/>
      <c r="AP100" s="1"/>
      <c r="AQ100" s="92"/>
      <c r="AR100" s="92"/>
      <c r="AS100" s="92"/>
      <c r="AT100" s="92"/>
      <c r="AU100" s="92"/>
      <c r="AV100" s="92"/>
      <c r="AW100" s="92"/>
      <c r="AX100" s="92"/>
      <c r="AY100" s="92"/>
      <c r="AZ100" s="92"/>
      <c r="BA100" s="92"/>
      <c r="BB100" s="92"/>
      <c r="BC100" s="92"/>
      <c r="BD100" s="92"/>
      <c r="BE100" s="92"/>
      <c r="BF100" s="92"/>
      <c r="BG100" s="92"/>
      <c r="BH100" s="1"/>
      <c r="BI100" s="1"/>
      <c r="BJ100" s="1"/>
      <c r="BK100" s="1"/>
      <c r="BL100" s="1"/>
      <c r="BM100" s="1"/>
      <c r="BN100" s="1"/>
      <c r="BO100" s="1"/>
      <c r="BP100" s="1"/>
      <c r="BQ100" s="1"/>
      <c r="BR100" s="1"/>
      <c r="BS100" s="1"/>
    </row>
    <row r="101" ht="15.75" customHeight="1">
      <c r="A101" s="1"/>
      <c r="B101" s="1"/>
      <c r="C101" s="1"/>
      <c r="D101" s="1"/>
      <c r="E101" s="1"/>
      <c r="F101" s="1"/>
      <c r="G101" s="1"/>
      <c r="H101" s="1"/>
      <c r="I101" s="34"/>
      <c r="J101" s="5"/>
      <c r="K101" s="105" t="s">
        <v>102</v>
      </c>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86"/>
      <c r="AM101" s="1"/>
      <c r="AN101" s="1"/>
      <c r="AO101" s="1"/>
      <c r="AP101" s="1"/>
      <c r="AQ101" s="92"/>
      <c r="AR101" s="92"/>
      <c r="AS101" s="92"/>
      <c r="AT101" s="92"/>
      <c r="AU101" s="92"/>
      <c r="AV101" s="92"/>
      <c r="AW101" s="92"/>
      <c r="AX101" s="92"/>
      <c r="AY101" s="92"/>
      <c r="AZ101" s="92"/>
      <c r="BA101" s="92"/>
      <c r="BB101" s="92"/>
      <c r="BC101" s="92"/>
      <c r="BD101" s="92"/>
      <c r="BE101" s="92"/>
      <c r="BF101" s="92"/>
      <c r="BG101" s="92"/>
      <c r="BH101" s="1"/>
      <c r="BI101" s="1"/>
      <c r="BJ101" s="1"/>
      <c r="BK101" s="1"/>
      <c r="BL101" s="1"/>
      <c r="BM101" s="1"/>
      <c r="BN101" s="1"/>
      <c r="BO101" s="1"/>
      <c r="BP101" s="1"/>
      <c r="BQ101" s="1"/>
      <c r="BR101" s="1"/>
      <c r="BS101" s="1"/>
    </row>
    <row r="102" ht="4.5" customHeight="1">
      <c r="A102" s="1"/>
      <c r="B102" s="1"/>
      <c r="C102" s="1"/>
      <c r="D102" s="1"/>
      <c r="E102" s="1"/>
      <c r="F102" s="1"/>
      <c r="G102" s="1"/>
      <c r="H102" s="1"/>
      <c r="I102" s="34"/>
      <c r="J102" s="5"/>
      <c r="K102" s="23"/>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86"/>
      <c r="AM102" s="1"/>
      <c r="AN102" s="1"/>
      <c r="AO102" s="1"/>
      <c r="AP102" s="1"/>
      <c r="AQ102" s="92"/>
      <c r="AR102" s="92"/>
      <c r="AS102" s="92"/>
      <c r="AT102" s="92"/>
      <c r="AU102" s="92"/>
      <c r="AV102" s="92"/>
      <c r="AW102" s="92"/>
      <c r="AX102" s="92"/>
      <c r="AY102" s="92"/>
      <c r="AZ102" s="92"/>
      <c r="BA102" s="92"/>
      <c r="BB102" s="92"/>
      <c r="BC102" s="92"/>
      <c r="BD102" s="92"/>
      <c r="BE102" s="92"/>
      <c r="BF102" s="92"/>
      <c r="BG102" s="92"/>
      <c r="BH102" s="1"/>
      <c r="BI102" s="1"/>
      <c r="BJ102" s="1"/>
      <c r="BK102" s="1"/>
      <c r="BL102" s="1"/>
      <c r="BM102" s="1"/>
      <c r="BN102" s="1"/>
      <c r="BO102" s="1"/>
      <c r="BP102" s="1"/>
      <c r="BQ102" s="1"/>
      <c r="BR102" s="1"/>
      <c r="BS102" s="1"/>
    </row>
    <row r="103" ht="15.75" customHeight="1">
      <c r="A103" s="1"/>
      <c r="B103" s="1"/>
      <c r="C103" s="1"/>
      <c r="D103" s="1"/>
      <c r="E103" s="1"/>
      <c r="F103" s="1"/>
      <c r="G103" s="1"/>
      <c r="H103" s="1"/>
      <c r="I103" s="34"/>
      <c r="J103" s="5"/>
      <c r="K103" s="23" t="s">
        <v>103</v>
      </c>
      <c r="L103" s="5"/>
      <c r="M103" s="5"/>
      <c r="N103" s="5"/>
      <c r="O103" s="5"/>
      <c r="P103" s="5"/>
      <c r="Q103" s="5"/>
      <c r="R103" s="106" t="str">
        <f>P54*K46*(K47-T37)^2/8</f>
        <v>406.6 KN.m.</v>
      </c>
      <c r="W103" s="5"/>
      <c r="X103" s="5"/>
      <c r="Y103" s="5"/>
      <c r="Z103" s="5"/>
      <c r="AA103" s="5"/>
      <c r="AB103" s="5"/>
      <c r="AC103" s="5"/>
      <c r="AD103" s="5"/>
      <c r="AE103" s="5"/>
      <c r="AF103" s="5"/>
      <c r="AG103" s="5"/>
      <c r="AH103" s="91" t="s">
        <v>92</v>
      </c>
      <c r="AI103" s="5"/>
      <c r="AJ103" s="5"/>
      <c r="AK103" s="5"/>
      <c r="AL103" s="86"/>
      <c r="AM103" s="1"/>
      <c r="AN103" s="1"/>
      <c r="AO103" s="1"/>
      <c r="AP103" s="1"/>
      <c r="AQ103" s="92"/>
      <c r="AR103" s="92"/>
      <c r="AS103" s="92"/>
      <c r="AT103" s="92"/>
      <c r="AU103" s="92"/>
      <c r="AV103" s="92"/>
      <c r="AW103" s="92"/>
      <c r="AX103" s="92"/>
      <c r="AY103" s="92"/>
      <c r="AZ103" s="92"/>
      <c r="BA103" s="92"/>
      <c r="BB103" s="92"/>
      <c r="BC103" s="92"/>
      <c r="BD103" s="92"/>
      <c r="BE103" s="92"/>
      <c r="BF103" s="92"/>
      <c r="BG103" s="92"/>
      <c r="BH103" s="1"/>
      <c r="BI103" s="1"/>
      <c r="BJ103" s="1"/>
      <c r="BK103" s="1"/>
      <c r="BL103" s="1"/>
      <c r="BM103" s="1"/>
      <c r="BN103" s="1"/>
      <c r="BO103" s="1"/>
      <c r="BP103" s="1"/>
      <c r="BQ103" s="1"/>
      <c r="BR103" s="1"/>
      <c r="BS103" s="1"/>
    </row>
    <row r="104" ht="15.75" customHeight="1">
      <c r="A104" s="1"/>
      <c r="B104" s="1"/>
      <c r="C104" s="1"/>
      <c r="D104" s="1"/>
      <c r="E104" s="1"/>
      <c r="F104" s="1"/>
      <c r="G104" s="1"/>
      <c r="H104" s="1"/>
      <c r="I104" s="34"/>
      <c r="J104" s="5"/>
      <c r="K104" s="23" t="s">
        <v>93</v>
      </c>
      <c r="M104" s="102" t="s">
        <v>94</v>
      </c>
      <c r="N104" s="31"/>
      <c r="O104" s="31"/>
      <c r="P104" s="104" t="s">
        <v>68</v>
      </c>
      <c r="Q104" s="23" t="str">
        <f>R103*1000000/(0.9*K46*1000*(Y57-O22)^2)</f>
        <v>0.7378781739</v>
      </c>
      <c r="T104" s="2"/>
      <c r="U104" s="2"/>
      <c r="V104" s="5"/>
      <c r="W104" s="5"/>
      <c r="X104" s="5"/>
      <c r="Y104" s="5"/>
      <c r="Z104" s="5"/>
      <c r="AA104" s="5"/>
      <c r="AB104" s="5"/>
      <c r="AC104" s="5"/>
      <c r="AD104" s="5"/>
      <c r="AE104" s="5"/>
      <c r="AF104" s="5"/>
      <c r="AG104" s="5"/>
      <c r="AH104" s="5"/>
      <c r="AI104" s="5"/>
      <c r="AJ104" s="5"/>
      <c r="AK104" s="5"/>
      <c r="AL104" s="86"/>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ht="15.75" customHeight="1">
      <c r="A105" s="1"/>
      <c r="B105" s="1"/>
      <c r="C105" s="1"/>
      <c r="D105" s="1"/>
      <c r="E105" s="1"/>
      <c r="F105" s="1"/>
      <c r="G105" s="1"/>
      <c r="H105" s="1"/>
      <c r="I105" s="34"/>
      <c r="J105" s="5"/>
      <c r="M105" s="5" t="s">
        <v>104</v>
      </c>
      <c r="T105" s="2"/>
      <c r="U105" s="2"/>
      <c r="V105" s="5"/>
      <c r="W105" s="5"/>
      <c r="X105" s="5"/>
      <c r="Y105" s="5"/>
      <c r="Z105" s="5"/>
      <c r="AA105" s="5"/>
      <c r="AB105" s="5"/>
      <c r="AC105" s="5"/>
      <c r="AD105" s="5"/>
      <c r="AE105" s="5"/>
      <c r="AF105" s="5"/>
      <c r="AG105" s="5"/>
      <c r="AH105" s="5"/>
      <c r="AI105" s="5"/>
      <c r="AJ105" s="5"/>
      <c r="AK105" s="5"/>
      <c r="AL105" s="86"/>
      <c r="AM105" s="1"/>
      <c r="AN105" s="1"/>
      <c r="AO105" s="1"/>
      <c r="AP105" s="1"/>
      <c r="AQ105" s="92"/>
      <c r="AR105" s="92"/>
      <c r="AS105" s="92"/>
      <c r="AT105" s="92"/>
      <c r="AU105" s="92"/>
      <c r="AV105" s="92"/>
      <c r="AW105" s="92"/>
      <c r="AX105" s="92"/>
      <c r="AY105" s="92"/>
      <c r="AZ105" s="92"/>
      <c r="BA105" s="92"/>
      <c r="BB105" s="92"/>
      <c r="BC105" s="92"/>
      <c r="BD105" s="92"/>
      <c r="BE105" s="92"/>
      <c r="BF105" s="92"/>
      <c r="BG105" s="92"/>
      <c r="BH105" s="1"/>
      <c r="BI105" s="1"/>
      <c r="BJ105" s="1"/>
      <c r="BK105" s="1"/>
      <c r="BL105" s="1"/>
      <c r="BM105" s="1"/>
      <c r="BN105" s="1"/>
      <c r="BO105" s="1"/>
      <c r="BP105" s="1"/>
      <c r="BQ105" s="1"/>
      <c r="BR105" s="1"/>
      <c r="BS105" s="1"/>
    </row>
    <row r="106" ht="15.75" customHeight="1">
      <c r="A106" s="1"/>
      <c r="B106" s="1"/>
      <c r="C106" s="1"/>
      <c r="D106" s="1"/>
      <c r="E106" s="1"/>
      <c r="F106" s="1"/>
      <c r="G106" s="1"/>
      <c r="H106" s="1"/>
      <c r="I106" s="34"/>
      <c r="J106" s="5"/>
      <c r="K106" s="23" t="s">
        <v>105</v>
      </c>
      <c r="M106" s="102" t="s">
        <v>84</v>
      </c>
      <c r="N106" s="31"/>
      <c r="O106" s="31"/>
      <c r="P106" s="103" t="s">
        <v>86</v>
      </c>
      <c r="Q106" s="5"/>
      <c r="R106" s="5"/>
      <c r="S106" s="5"/>
      <c r="T106" s="5"/>
      <c r="U106" s="5"/>
      <c r="V106" s="5"/>
      <c r="W106" s="103" t="s">
        <v>87</v>
      </c>
      <c r="X106" s="104" t="s">
        <v>68</v>
      </c>
      <c r="Y106" s="23" t="str">
        <f>(0.85*(0.8*J34)/J36)*(1-(1-(2*Q104/(0.85*(0.8*J34))))^0.5)</f>
        <v>0.002684744864</v>
      </c>
      <c r="AB106" s="5"/>
      <c r="AC106" s="5"/>
      <c r="AD106" s="5"/>
      <c r="AE106" s="5"/>
      <c r="AF106" s="5"/>
      <c r="AG106" s="5"/>
      <c r="AH106" s="5"/>
      <c r="AI106" s="5"/>
      <c r="AJ106" s="5"/>
      <c r="AK106" s="5"/>
      <c r="AL106" s="86"/>
      <c r="AM106" s="1"/>
      <c r="AN106" s="1"/>
      <c r="AO106" s="1"/>
      <c r="AP106" s="1"/>
      <c r="AQ106" s="92"/>
      <c r="AR106" s="92"/>
      <c r="AS106" s="92"/>
      <c r="AT106" s="92"/>
      <c r="AU106" s="92"/>
      <c r="AV106" s="92"/>
      <c r="AW106" s="92"/>
      <c r="AX106" s="92"/>
      <c r="AY106" s="92"/>
      <c r="AZ106" s="92"/>
      <c r="BA106" s="92"/>
      <c r="BB106" s="92"/>
      <c r="BC106" s="92"/>
      <c r="BD106" s="92"/>
      <c r="BE106" s="92"/>
      <c r="BF106" s="92"/>
      <c r="BG106" s="92"/>
      <c r="BH106" s="1"/>
      <c r="BI106" s="1"/>
      <c r="BJ106" s="1"/>
      <c r="BK106" s="1"/>
      <c r="BL106" s="1"/>
      <c r="BM106" s="1"/>
      <c r="BN106" s="1"/>
      <c r="BO106" s="1"/>
      <c r="BP106" s="1"/>
      <c r="BQ106" s="1"/>
      <c r="BR106" s="1"/>
      <c r="BS106" s="1"/>
    </row>
    <row r="107" ht="15.75" customHeight="1">
      <c r="A107" s="1"/>
      <c r="B107" s="1"/>
      <c r="C107" s="1"/>
      <c r="D107" s="1"/>
      <c r="E107" s="1"/>
      <c r="F107" s="1"/>
      <c r="G107" s="1"/>
      <c r="H107" s="1"/>
      <c r="I107" s="34"/>
      <c r="J107" s="5"/>
      <c r="M107" s="5" t="s">
        <v>88</v>
      </c>
      <c r="S107" s="5"/>
      <c r="T107" s="5"/>
      <c r="U107" s="5"/>
      <c r="V107" s="5"/>
      <c r="AB107" s="5"/>
      <c r="AC107" s="5"/>
      <c r="AD107" s="5"/>
      <c r="AE107" s="5"/>
      <c r="AF107" s="5"/>
      <c r="AG107" s="5"/>
      <c r="AH107" s="5"/>
      <c r="AI107" s="5"/>
      <c r="AJ107" s="5"/>
      <c r="AK107" s="5"/>
      <c r="AL107" s="86"/>
      <c r="AM107" s="1"/>
      <c r="AN107" s="1"/>
      <c r="AO107" s="1"/>
      <c r="AP107" s="1"/>
      <c r="AQ107" s="92"/>
      <c r="AR107" s="92"/>
      <c r="AS107" s="92"/>
      <c r="AT107" s="92"/>
      <c r="AU107" s="92"/>
      <c r="AV107" s="92"/>
      <c r="AW107" s="92"/>
      <c r="AX107" s="92"/>
      <c r="AY107" s="92"/>
      <c r="AZ107" s="92"/>
      <c r="BA107" s="92"/>
      <c r="BB107" s="92"/>
      <c r="BC107" s="92"/>
      <c r="BD107" s="92"/>
      <c r="BE107" s="92"/>
      <c r="BF107" s="92"/>
      <c r="BG107" s="92"/>
      <c r="BH107" s="1"/>
      <c r="BI107" s="1"/>
      <c r="BJ107" s="1"/>
      <c r="BK107" s="1"/>
      <c r="BL107" s="1"/>
      <c r="BM107" s="1"/>
      <c r="BN107" s="1"/>
      <c r="BO107" s="1"/>
      <c r="BP107" s="1"/>
      <c r="BQ107" s="1"/>
      <c r="BR107" s="1"/>
      <c r="BS107" s="1"/>
    </row>
    <row r="108" ht="15.75" customHeight="1">
      <c r="A108" s="1"/>
      <c r="B108" s="1"/>
      <c r="C108" s="1"/>
      <c r="D108" s="1"/>
      <c r="E108" s="1"/>
      <c r="F108" s="1"/>
      <c r="G108" s="1"/>
      <c r="H108" s="1"/>
      <c r="I108" s="34"/>
      <c r="J108" s="5"/>
      <c r="K108" s="23" t="s">
        <v>106</v>
      </c>
      <c r="L108" s="5"/>
      <c r="M108" s="1"/>
      <c r="N108" s="1"/>
      <c r="O108" s="1"/>
      <c r="P108" s="2"/>
      <c r="Q108" s="2"/>
      <c r="R108" s="5" t="str">
        <f>Y106*(Y57/U56)</f>
        <v>0.002282033134</v>
      </c>
      <c r="U108" s="2"/>
      <c r="V108" s="5"/>
      <c r="W108" s="5"/>
      <c r="X108" s="5"/>
      <c r="Y108" s="23" t="str">
        <f>IF(R108&gt;M83,"ρ &gt; ρ min…...safe","ρ &lt; ρ min……take ρ = ρ min")</f>
        <v>ρ &gt; ρ min…...safe</v>
      </c>
      <c r="Z108" s="5"/>
      <c r="AA108" s="5"/>
      <c r="AB108" s="5"/>
      <c r="AC108" s="5"/>
      <c r="AD108" s="5"/>
      <c r="AE108" s="5"/>
      <c r="AF108" s="5"/>
      <c r="AG108" s="5"/>
      <c r="AH108" s="91" t="s">
        <v>82</v>
      </c>
      <c r="AI108" s="5"/>
      <c r="AJ108" s="5"/>
      <c r="AK108" s="5"/>
      <c r="AL108" s="86"/>
      <c r="AM108" s="1"/>
      <c r="AN108" s="1"/>
      <c r="AO108" s="1"/>
      <c r="AP108" s="1"/>
      <c r="AQ108" s="1"/>
      <c r="AR108" s="96"/>
      <c r="AS108" s="96"/>
      <c r="AT108" s="96"/>
      <c r="AU108" s="96"/>
      <c r="AV108" s="96"/>
      <c r="AW108" s="96"/>
      <c r="AX108" s="96"/>
      <c r="AY108" s="96"/>
      <c r="AZ108" s="96"/>
      <c r="BA108" s="96"/>
      <c r="BB108" s="96"/>
      <c r="BC108" s="96"/>
      <c r="BD108" s="96"/>
      <c r="BE108" s="96"/>
      <c r="BF108" s="96"/>
      <c r="BG108" s="96"/>
      <c r="BH108" s="1"/>
      <c r="BI108" s="1"/>
      <c r="BJ108" s="1"/>
      <c r="BK108" s="1"/>
      <c r="BL108" s="1"/>
      <c r="BM108" s="1"/>
      <c r="BN108" s="1"/>
      <c r="BO108" s="1"/>
      <c r="BP108" s="1"/>
      <c r="BQ108" s="1"/>
      <c r="BR108" s="1"/>
      <c r="BS108" s="1"/>
    </row>
    <row r="109" ht="15.75" customHeight="1">
      <c r="A109" s="1"/>
      <c r="B109" s="1"/>
      <c r="C109" s="1"/>
      <c r="D109" s="1"/>
      <c r="E109" s="1"/>
      <c r="F109" s="1"/>
      <c r="G109" s="1"/>
      <c r="H109" s="1"/>
      <c r="I109" s="34"/>
      <c r="J109" s="5"/>
      <c r="K109" s="23" t="s">
        <v>107</v>
      </c>
      <c r="L109" s="5"/>
      <c r="M109" s="5"/>
      <c r="N109" s="5"/>
      <c r="O109" s="107" t="str">
        <f>IF(R108&gt;M83,Y106,M83)*K46*1000*(Y57-O22)</f>
        <v>3354.6  mm²</v>
      </c>
      <c r="T109" s="5"/>
      <c r="U109" s="5"/>
      <c r="V109" s="5"/>
      <c r="W109" s="5"/>
      <c r="X109" s="5"/>
      <c r="Y109" s="5"/>
      <c r="Z109" s="5"/>
      <c r="AA109" s="5"/>
      <c r="AB109" s="5"/>
      <c r="AC109" s="5"/>
      <c r="AD109" s="5"/>
      <c r="AE109" s="5"/>
      <c r="AF109" s="5"/>
      <c r="AG109" s="5"/>
      <c r="AH109" s="5"/>
      <c r="AI109" s="5"/>
      <c r="AJ109" s="5"/>
      <c r="AK109" s="5"/>
      <c r="AL109" s="86"/>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ht="15.75" customHeight="1">
      <c r="A110" s="1"/>
      <c r="B110" s="1"/>
      <c r="C110" s="1"/>
      <c r="D110" s="1"/>
      <c r="E110" s="1"/>
      <c r="F110" s="1"/>
      <c r="G110" s="1"/>
      <c r="H110" s="1"/>
      <c r="I110" s="34"/>
      <c r="J110" s="5"/>
      <c r="K110" s="108" t="str">
        <f>ROUNDUP(O109/(3.14*O20^2*0.25),0)</f>
        <v>Use  11</v>
      </c>
      <c r="N110" s="109" t="str">
        <f>O20</f>
        <v>Ø20</v>
      </c>
      <c r="P110" s="23" t="s">
        <v>99</v>
      </c>
      <c r="Q110" s="5"/>
      <c r="R110" s="110" t="str">
        <f>K110*3.14*N110^2*0.25</f>
        <v>3454.0  mm² )</v>
      </c>
      <c r="W110" s="5"/>
      <c r="X110" s="5"/>
      <c r="Y110" s="5"/>
      <c r="Z110" s="5"/>
      <c r="AA110" s="5"/>
      <c r="AB110" s="5"/>
      <c r="AC110" s="5"/>
      <c r="AD110" s="5"/>
      <c r="AE110" s="5"/>
      <c r="AF110" s="5"/>
      <c r="AG110" s="5"/>
      <c r="AH110" s="5"/>
      <c r="AI110" s="5"/>
      <c r="AJ110" s="5"/>
      <c r="AK110" s="5"/>
      <c r="AL110" s="86"/>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ht="15.75" customHeight="1">
      <c r="A111" s="1"/>
      <c r="B111" s="1"/>
      <c r="C111" s="1"/>
      <c r="D111" s="1"/>
      <c r="E111" s="1"/>
      <c r="F111" s="1"/>
      <c r="G111" s="1"/>
      <c r="H111" s="1"/>
      <c r="I111" s="34"/>
      <c r="J111" s="5"/>
      <c r="K111" s="111" t="s">
        <v>100</v>
      </c>
      <c r="L111" s="108"/>
      <c r="M111" s="108"/>
      <c r="N111" s="109"/>
      <c r="O111" s="23"/>
      <c r="P111" s="97" t="str">
        <f>(K46*1000-2*J37-O20)/(K110-1)</f>
        <v>239 mm</v>
      </c>
      <c r="S111" s="1"/>
      <c r="T111" s="110"/>
      <c r="U111" s="110"/>
      <c r="V111" s="110"/>
      <c r="W111" s="5"/>
      <c r="X111" s="5"/>
      <c r="Y111" s="112" t="str">
        <f>IF(P111&lt;=450,"&lt; 450 mm…...safe","&gt; 450 mm…...decrease diameter")</f>
        <v>&lt; 450 mm…...safe</v>
      </c>
      <c r="Z111" s="5"/>
      <c r="AA111" s="5"/>
      <c r="AB111" s="5"/>
      <c r="AC111" s="5"/>
      <c r="AD111" s="5"/>
      <c r="AE111" s="5"/>
      <c r="AF111" s="5"/>
      <c r="AG111" s="5"/>
      <c r="AH111" s="91" t="s">
        <v>101</v>
      </c>
      <c r="AI111" s="5"/>
      <c r="AJ111" s="5"/>
      <c r="AK111" s="5"/>
      <c r="AL111" s="86"/>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ht="15.75" customHeight="1">
      <c r="A112" s="1"/>
      <c r="B112" s="1"/>
      <c r="C112" s="1"/>
      <c r="D112" s="1"/>
      <c r="E112" s="1"/>
      <c r="F112" s="1"/>
      <c r="G112" s="1"/>
      <c r="H112" s="1"/>
      <c r="I112" s="34"/>
      <c r="J112" s="5"/>
      <c r="K112" s="113" t="str">
        <f>ROUNDUP(2/(1+(K46/K47))*K110,0)</f>
        <v>Distribute 11</v>
      </c>
      <c r="O112" s="109" t="str">
        <f>N110</f>
        <v>Ø20</v>
      </c>
      <c r="Q112" s="1" t="s">
        <v>108</v>
      </c>
      <c r="R112" s="5"/>
      <c r="S112" s="1"/>
      <c r="T112" s="1"/>
      <c r="U112" s="1"/>
      <c r="V112" s="5"/>
      <c r="W112" s="5"/>
      <c r="X112" s="5"/>
      <c r="Y112" s="5"/>
      <c r="Z112" s="5"/>
      <c r="AA112" s="5"/>
      <c r="AB112" s="5"/>
      <c r="AC112" s="5"/>
      <c r="AD112" s="5"/>
      <c r="AE112" s="5"/>
      <c r="AF112" s="5"/>
      <c r="AG112" s="5"/>
      <c r="AH112" s="5"/>
      <c r="AI112" s="5"/>
      <c r="AJ112" s="5"/>
      <c r="AK112" s="5"/>
      <c r="AL112" s="86"/>
      <c r="AM112" s="1"/>
      <c r="AN112" s="1"/>
      <c r="AO112" s="1"/>
      <c r="AP112" s="1"/>
      <c r="AQ112" s="92"/>
      <c r="AR112" s="92"/>
      <c r="AS112" s="92"/>
      <c r="AT112" s="92"/>
      <c r="AU112" s="92"/>
      <c r="AV112" s="92"/>
      <c r="AW112" s="92"/>
      <c r="AX112" s="92"/>
      <c r="AY112" s="92"/>
      <c r="AZ112" s="92"/>
      <c r="BA112" s="92"/>
      <c r="BB112" s="92"/>
      <c r="BC112" s="92"/>
      <c r="BD112" s="92"/>
      <c r="BE112" s="92"/>
      <c r="BF112" s="92"/>
      <c r="BG112" s="92"/>
      <c r="BH112" s="1"/>
      <c r="BI112" s="1"/>
      <c r="BJ112" s="1"/>
      <c r="BK112" s="1"/>
      <c r="BL112" s="1"/>
      <c r="BM112" s="1"/>
      <c r="BN112" s="1"/>
      <c r="BO112" s="1"/>
      <c r="BP112" s="1"/>
      <c r="BQ112" s="1"/>
      <c r="BR112" s="1"/>
      <c r="BS112" s="1"/>
    </row>
    <row r="113" ht="4.5" customHeight="1">
      <c r="A113" s="1"/>
      <c r="B113" s="1"/>
      <c r="C113" s="1"/>
      <c r="D113" s="1"/>
      <c r="E113" s="1"/>
      <c r="F113" s="1"/>
      <c r="G113" s="1"/>
      <c r="H113" s="1"/>
      <c r="I113" s="34"/>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86"/>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row>
    <row r="114" ht="15.75" customHeight="1">
      <c r="A114" s="1"/>
      <c r="B114" s="1"/>
      <c r="C114" s="1"/>
      <c r="D114" s="1"/>
      <c r="E114" s="1"/>
      <c r="F114" s="1"/>
      <c r="G114" s="1"/>
      <c r="H114" s="1"/>
      <c r="I114" s="34"/>
      <c r="J114" s="83" t="s">
        <v>109</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86"/>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row>
    <row r="115" ht="4.5" customHeight="1">
      <c r="A115" s="1"/>
      <c r="B115" s="1"/>
      <c r="C115" s="1"/>
      <c r="D115" s="1"/>
      <c r="E115" s="1"/>
      <c r="F115" s="1"/>
      <c r="G115" s="1"/>
      <c r="H115" s="1"/>
      <c r="I115" s="34"/>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86"/>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row>
    <row r="116" ht="15.75" customHeight="1">
      <c r="A116" s="1"/>
      <c r="B116" s="1"/>
      <c r="C116" s="1"/>
      <c r="D116" s="1"/>
      <c r="E116" s="1"/>
      <c r="F116" s="1"/>
      <c r="G116" s="1"/>
      <c r="H116" s="1"/>
      <c r="I116" s="34"/>
      <c r="J116" s="5"/>
      <c r="K116" s="105" t="s">
        <v>90</v>
      </c>
      <c r="L116" s="5"/>
      <c r="M116" s="5"/>
      <c r="N116" s="5"/>
      <c r="O116" s="5"/>
      <c r="P116" s="5"/>
      <c r="Q116" s="5"/>
      <c r="R116" s="5"/>
      <c r="S116" s="5"/>
      <c r="T116" s="5"/>
      <c r="U116" s="114"/>
      <c r="V116" s="114"/>
      <c r="W116" s="5"/>
      <c r="X116" s="5"/>
      <c r="Y116" s="5"/>
      <c r="Z116" s="5"/>
      <c r="AA116" s="5"/>
      <c r="AB116" s="5"/>
      <c r="AC116" s="5"/>
      <c r="AD116" s="5"/>
      <c r="AE116" s="5"/>
      <c r="AF116" s="5"/>
      <c r="AG116" s="5"/>
      <c r="AH116" s="5"/>
      <c r="AI116" s="5"/>
      <c r="AJ116" s="5"/>
      <c r="AK116" s="5"/>
      <c r="AL116" s="86"/>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row>
    <row r="117" ht="4.5" customHeight="1">
      <c r="A117" s="1"/>
      <c r="B117" s="1"/>
      <c r="C117" s="1"/>
      <c r="D117" s="1"/>
      <c r="E117" s="1"/>
      <c r="F117" s="1"/>
      <c r="G117" s="1"/>
      <c r="H117" s="1"/>
      <c r="I117" s="34"/>
      <c r="J117" s="5"/>
      <c r="K117" s="5"/>
      <c r="L117" s="5"/>
      <c r="M117" s="5"/>
      <c r="N117" s="5"/>
      <c r="O117" s="5"/>
      <c r="P117" s="5"/>
      <c r="Q117" s="5"/>
      <c r="R117" s="5"/>
      <c r="S117" s="5"/>
      <c r="T117" s="5"/>
      <c r="U117" s="114"/>
      <c r="V117" s="114"/>
      <c r="W117" s="5"/>
      <c r="X117" s="5"/>
      <c r="Y117" s="5"/>
      <c r="Z117" s="5"/>
      <c r="AA117" s="5"/>
      <c r="AB117" s="5"/>
      <c r="AC117" s="5"/>
      <c r="AD117" s="5"/>
      <c r="AE117" s="5"/>
      <c r="AF117" s="5"/>
      <c r="AG117" s="5"/>
      <c r="AH117" s="5"/>
      <c r="AI117" s="5"/>
      <c r="AJ117" s="5"/>
      <c r="AK117" s="5"/>
      <c r="AL117" s="86"/>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row>
    <row r="118" ht="15.75" customHeight="1">
      <c r="A118" s="1"/>
      <c r="B118" s="1"/>
      <c r="C118" s="1"/>
      <c r="D118" s="1"/>
      <c r="E118" s="1"/>
      <c r="F118" s="1"/>
      <c r="G118" s="1"/>
      <c r="H118" s="1"/>
      <c r="I118" s="34"/>
      <c r="J118" s="5"/>
      <c r="K118" s="5" t="s">
        <v>110</v>
      </c>
      <c r="M118" s="102" t="s">
        <v>88</v>
      </c>
      <c r="N118" s="31"/>
      <c r="O118" s="31"/>
      <c r="P118" s="5" t="s">
        <v>111</v>
      </c>
      <c r="Q118" s="102" t="s">
        <v>112</v>
      </c>
      <c r="R118" s="31"/>
      <c r="S118" s="31"/>
      <c r="T118" s="31"/>
      <c r="U118" s="114" t="s">
        <v>113</v>
      </c>
      <c r="W118" s="5"/>
      <c r="X118" s="5"/>
      <c r="Y118" s="5"/>
      <c r="Z118" s="5"/>
      <c r="AA118" s="5"/>
      <c r="AB118" s="5"/>
      <c r="AC118" s="5"/>
      <c r="AD118" s="5"/>
      <c r="AE118" s="5"/>
      <c r="AF118" s="5"/>
      <c r="AG118" s="5"/>
      <c r="AH118" s="91" t="s">
        <v>114</v>
      </c>
      <c r="AL118" s="86"/>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row>
    <row r="119" ht="15.75" customHeight="1">
      <c r="A119" s="1"/>
      <c r="B119" s="1"/>
      <c r="C119" s="1"/>
      <c r="D119" s="1"/>
      <c r="E119" s="1"/>
      <c r="F119" s="1"/>
      <c r="G119" s="1"/>
      <c r="H119" s="1"/>
      <c r="I119" s="34"/>
      <c r="J119" s="5"/>
      <c r="M119" s="23" t="s">
        <v>115</v>
      </c>
      <c r="N119" s="5"/>
      <c r="O119" s="5"/>
      <c r="Q119" s="23" t="s">
        <v>116</v>
      </c>
      <c r="R119" s="5"/>
      <c r="S119" s="5"/>
      <c r="T119" s="2"/>
      <c r="W119" s="5"/>
      <c r="X119" s="5"/>
      <c r="Y119" s="5"/>
      <c r="Z119" s="5"/>
      <c r="AA119" s="5"/>
      <c r="AB119" s="5"/>
      <c r="AC119" s="5"/>
      <c r="AD119" s="5"/>
      <c r="AE119" s="5"/>
      <c r="AF119" s="5"/>
      <c r="AG119" s="5"/>
      <c r="AL119" s="86"/>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row>
    <row r="120" ht="15.75" customHeight="1">
      <c r="A120" s="1"/>
      <c r="B120" s="1"/>
      <c r="C120" s="1"/>
      <c r="D120" s="1"/>
      <c r="E120" s="1"/>
      <c r="F120" s="1"/>
      <c r="G120" s="1"/>
      <c r="H120" s="1"/>
      <c r="I120" s="34"/>
      <c r="J120" s="5"/>
      <c r="K120" s="23" t="s">
        <v>117</v>
      </c>
      <c r="R120" s="23" t="s">
        <v>118</v>
      </c>
      <c r="S120" s="5"/>
      <c r="T120" s="2"/>
      <c r="U120" s="2"/>
      <c r="V120" s="5" t="s">
        <v>68</v>
      </c>
      <c r="W120" s="115" t="str">
        <f>J37</f>
        <v>70.0 mm</v>
      </c>
      <c r="Z120" s="23" t="str">
        <f>IF(W120=MIN(W120,Y121),"(governs)","")</f>
        <v>(governs)</v>
      </c>
      <c r="AA120" s="5"/>
      <c r="AB120" s="5"/>
      <c r="AC120" s="5"/>
      <c r="AD120" s="5"/>
      <c r="AE120" s="5"/>
      <c r="AF120" s="5"/>
      <c r="AG120" s="5"/>
      <c r="AH120" s="116" t="s">
        <v>119</v>
      </c>
      <c r="AK120" s="5"/>
      <c r="AL120" s="86"/>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row>
    <row r="121" ht="15.75" customHeight="1">
      <c r="A121" s="1"/>
      <c r="B121" s="1"/>
      <c r="C121" s="1"/>
      <c r="D121" s="1"/>
      <c r="E121" s="1"/>
      <c r="F121" s="1"/>
      <c r="G121" s="1"/>
      <c r="H121" s="1"/>
      <c r="I121" s="34"/>
      <c r="J121" s="5"/>
      <c r="R121" s="23" t="s">
        <v>120</v>
      </c>
      <c r="S121" s="5"/>
      <c r="T121" s="5"/>
      <c r="U121" s="5"/>
      <c r="V121" s="5"/>
      <c r="W121" s="5"/>
      <c r="X121" s="5" t="s">
        <v>68</v>
      </c>
      <c r="Y121" s="115" t="str">
        <f>(K47*1000-2*J37-O22)/(K98-1)</f>
        <v>243.3 mm</v>
      </c>
      <c r="AB121" s="23" t="str">
        <f>IF(Y121=MIN(W120,Y121),"(governs)","")</f>
        <v/>
      </c>
      <c r="AC121" s="5"/>
      <c r="AD121" s="5"/>
      <c r="AE121" s="5"/>
      <c r="AF121" s="5"/>
      <c r="AG121" s="5"/>
      <c r="AK121" s="5"/>
      <c r="AL121" s="86"/>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row>
    <row r="122" ht="15.75" customHeight="1">
      <c r="A122" s="1"/>
      <c r="B122" s="1"/>
      <c r="C122" s="1"/>
      <c r="D122" s="1"/>
      <c r="E122" s="1"/>
      <c r="F122" s="1"/>
      <c r="G122" s="1"/>
      <c r="H122" s="1"/>
      <c r="I122" s="34"/>
      <c r="J122" s="5"/>
      <c r="K122" s="23" t="s">
        <v>121</v>
      </c>
      <c r="L122" s="5"/>
      <c r="M122" s="5"/>
      <c r="N122" s="5"/>
      <c r="O122" s="5"/>
      <c r="P122" s="5"/>
      <c r="Q122" s="5"/>
      <c r="R122" s="5"/>
      <c r="S122" s="5"/>
      <c r="T122" s="5"/>
      <c r="U122" s="5"/>
      <c r="V122" s="5"/>
      <c r="W122" s="5"/>
      <c r="X122" s="5"/>
      <c r="Y122" s="5"/>
      <c r="Z122" s="5"/>
      <c r="AA122" s="5"/>
      <c r="AB122" s="5"/>
      <c r="AC122" s="5"/>
      <c r="AD122" s="5"/>
      <c r="AE122" s="5"/>
      <c r="AF122" s="5"/>
      <c r="AG122" s="5"/>
      <c r="AK122" s="5"/>
      <c r="AL122" s="86"/>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row>
    <row r="123" ht="15.75" customHeight="1">
      <c r="A123" s="1"/>
      <c r="B123" s="1"/>
      <c r="C123" s="1"/>
      <c r="D123" s="1"/>
      <c r="E123" s="1"/>
      <c r="F123" s="1"/>
      <c r="G123" s="1"/>
      <c r="H123" s="1"/>
      <c r="I123" s="34"/>
      <c r="J123" s="5"/>
      <c r="K123" s="23" t="s">
        <v>122</v>
      </c>
      <c r="L123" s="5"/>
      <c r="M123" s="5"/>
      <c r="N123" s="2"/>
      <c r="O123" s="5"/>
      <c r="P123" s="5" t="str">
        <f>MIN(W120,Y121)/O22</f>
        <v>3.5</v>
      </c>
      <c r="Q123" s="2"/>
      <c r="R123" s="23" t="str">
        <f>IF(P123&gt;2.5,"&gt; 2.5 take it = 2.5","")</f>
        <v>&gt; 2.5 take it = 2.5</v>
      </c>
      <c r="S123" s="5"/>
      <c r="T123" s="5"/>
      <c r="U123" s="5"/>
      <c r="V123" s="5"/>
      <c r="W123" s="5"/>
      <c r="X123" s="5"/>
      <c r="Y123" s="5"/>
      <c r="Z123" s="5"/>
      <c r="AA123" s="5"/>
      <c r="AB123" s="5"/>
      <c r="AC123" s="5"/>
      <c r="AD123" s="5"/>
      <c r="AE123" s="5"/>
      <c r="AF123" s="5"/>
      <c r="AG123" s="5"/>
      <c r="AK123" s="5"/>
      <c r="AL123" s="86"/>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row>
    <row r="124" ht="15.75" customHeight="1">
      <c r="A124" s="1"/>
      <c r="B124" s="1"/>
      <c r="C124" s="1"/>
      <c r="D124" s="1"/>
      <c r="E124" s="1"/>
      <c r="F124" s="1"/>
      <c r="G124" s="1"/>
      <c r="H124" s="1"/>
      <c r="I124" s="34"/>
      <c r="J124" s="5"/>
      <c r="K124" s="5" t="s">
        <v>123</v>
      </c>
      <c r="L124" s="5" t="s">
        <v>68</v>
      </c>
      <c r="M124" s="5">
        <v>1.0</v>
      </c>
      <c r="N124" s="23" t="s">
        <v>124</v>
      </c>
      <c r="O124" s="5"/>
      <c r="P124" s="5"/>
      <c r="Q124" s="2"/>
      <c r="R124" s="5"/>
      <c r="S124" s="5"/>
      <c r="T124" s="5" t="s">
        <v>125</v>
      </c>
      <c r="X124" s="5" t="str">
        <f>M124*M125</f>
        <v>1</v>
      </c>
      <c r="Y124" s="5" t="str">
        <f>IF(X124&gt;1.7,"&gt; 1.7 take it = 1.7","&lt; 1.7")</f>
        <v>&lt; 1.7</v>
      </c>
      <c r="AA124" s="5"/>
      <c r="AB124" s="5"/>
      <c r="AC124" s="5"/>
      <c r="AD124" s="5"/>
      <c r="AE124" s="5"/>
      <c r="AF124" s="5"/>
      <c r="AG124" s="5"/>
      <c r="AH124" s="117" t="s">
        <v>126</v>
      </c>
      <c r="AI124" s="117"/>
      <c r="AJ124" s="117"/>
      <c r="AK124" s="5"/>
      <c r="AL124" s="86"/>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row>
    <row r="125" ht="15.75" customHeight="1">
      <c r="A125" s="1"/>
      <c r="B125" s="1"/>
      <c r="C125" s="1"/>
      <c r="D125" s="1"/>
      <c r="E125" s="1"/>
      <c r="F125" s="1"/>
      <c r="G125" s="1"/>
      <c r="H125" s="1"/>
      <c r="I125" s="34"/>
      <c r="J125" s="5"/>
      <c r="K125" s="5" t="s">
        <v>127</v>
      </c>
      <c r="L125" s="5" t="s">
        <v>68</v>
      </c>
      <c r="M125" s="5">
        <v>1.0</v>
      </c>
      <c r="N125" s="23" t="s">
        <v>128</v>
      </c>
      <c r="O125" s="5"/>
      <c r="P125" s="5"/>
      <c r="Q125" s="5"/>
      <c r="R125" s="5"/>
      <c r="S125" s="5"/>
      <c r="AA125" s="5"/>
      <c r="AB125" s="5"/>
      <c r="AC125" s="5"/>
      <c r="AD125" s="5"/>
      <c r="AE125" s="5"/>
      <c r="AF125" s="5"/>
      <c r="AG125" s="5"/>
      <c r="AH125" s="117" t="s">
        <v>129</v>
      </c>
      <c r="AI125" s="117"/>
      <c r="AJ125" s="117"/>
      <c r="AK125" s="5"/>
      <c r="AL125" s="86"/>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row>
    <row r="126" ht="15.75" customHeight="1">
      <c r="A126" s="1"/>
      <c r="B126" s="1"/>
      <c r="C126" s="1"/>
      <c r="D126" s="1"/>
      <c r="E126" s="1"/>
      <c r="F126" s="1"/>
      <c r="G126" s="1"/>
      <c r="H126" s="1"/>
      <c r="I126" s="34"/>
      <c r="J126" s="5"/>
      <c r="K126" s="5" t="s">
        <v>130</v>
      </c>
      <c r="L126" s="5" t="s">
        <v>68</v>
      </c>
      <c r="M126" s="118" t="str">
        <f>IF(O22&lt;=18,0.8,1)</f>
        <v>1</v>
      </c>
      <c r="N126" s="23" t="str">
        <f>IF(O22&lt;=18,"( smaller than No. 19 bars) ","( Larger than No 22 bars )")</f>
        <v>( Larger than No 22 bars )</v>
      </c>
      <c r="O126" s="5"/>
      <c r="P126" s="5"/>
      <c r="Q126" s="5"/>
      <c r="R126" s="5"/>
      <c r="S126" s="5"/>
      <c r="T126" s="5"/>
      <c r="U126" s="5"/>
      <c r="V126" s="5"/>
      <c r="W126" s="5"/>
      <c r="X126" s="5"/>
      <c r="Y126" s="5"/>
      <c r="Z126" s="5"/>
      <c r="AA126" s="5"/>
      <c r="AB126" s="5"/>
      <c r="AC126" s="5"/>
      <c r="AD126" s="5"/>
      <c r="AE126" s="5"/>
      <c r="AF126" s="5"/>
      <c r="AG126" s="5"/>
      <c r="AH126" s="117" t="s">
        <v>131</v>
      </c>
      <c r="AI126" s="117"/>
      <c r="AJ126" s="117"/>
      <c r="AK126" s="5"/>
      <c r="AL126" s="86"/>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row>
    <row r="127" ht="15.75" customHeight="1">
      <c r="A127" s="1"/>
      <c r="B127" s="1"/>
      <c r="C127" s="1"/>
      <c r="D127" s="1"/>
      <c r="E127" s="1"/>
      <c r="F127" s="1"/>
      <c r="G127" s="1"/>
      <c r="H127" s="1"/>
      <c r="I127" s="34"/>
      <c r="J127" s="5"/>
      <c r="K127" s="5" t="s">
        <v>132</v>
      </c>
      <c r="L127" s="5" t="s">
        <v>68</v>
      </c>
      <c r="M127" s="5">
        <v>1.0</v>
      </c>
      <c r="N127" s="23" t="s">
        <v>133</v>
      </c>
      <c r="O127" s="5"/>
      <c r="P127" s="5"/>
      <c r="Q127" s="5"/>
      <c r="R127" s="5"/>
      <c r="S127" s="5"/>
      <c r="T127" s="5"/>
      <c r="U127" s="5"/>
      <c r="V127" s="5"/>
      <c r="W127" s="5"/>
      <c r="X127" s="5"/>
      <c r="Y127" s="5"/>
      <c r="Z127" s="5"/>
      <c r="AA127" s="5"/>
      <c r="AB127" s="5"/>
      <c r="AC127" s="5"/>
      <c r="AD127" s="5"/>
      <c r="AE127" s="5"/>
      <c r="AF127" s="5"/>
      <c r="AG127" s="5"/>
      <c r="AH127" s="117" t="s">
        <v>134</v>
      </c>
      <c r="AI127" s="117"/>
      <c r="AJ127" s="117"/>
      <c r="AK127" s="5"/>
      <c r="AL127" s="86"/>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row>
    <row r="128" ht="15.75" customHeight="1">
      <c r="A128" s="1"/>
      <c r="B128" s="1"/>
      <c r="C128" s="1"/>
      <c r="D128" s="1"/>
      <c r="E128" s="1"/>
      <c r="F128" s="1"/>
      <c r="G128" s="1"/>
      <c r="H128" s="1"/>
      <c r="I128" s="34"/>
      <c r="J128" s="5"/>
      <c r="K128" s="5" t="s">
        <v>135</v>
      </c>
      <c r="M128" s="102" t="s">
        <v>88</v>
      </c>
      <c r="N128" s="31"/>
      <c r="O128" s="31"/>
      <c r="P128" s="5" t="s">
        <v>111</v>
      </c>
      <c r="Q128" s="102" t="s">
        <v>136</v>
      </c>
      <c r="R128" s="31"/>
      <c r="S128" s="31"/>
      <c r="T128" s="31"/>
      <c r="U128" s="114" t="s">
        <v>137</v>
      </c>
      <c r="W128" s="119" t="str">
        <f>((J36/(1.1*M127*(0.8*J34)^0.5))*(M124*M125*M126)/(IF(P123&gt;2.5,2.5,P123)))*O22</f>
        <v>415.7 mm</v>
      </c>
      <c r="AA128" s="5"/>
      <c r="AB128" s="5"/>
      <c r="AC128" s="5"/>
      <c r="AD128" s="5"/>
      <c r="AE128" s="5"/>
      <c r="AF128" s="5"/>
      <c r="AG128" s="5"/>
      <c r="AH128" s="91" t="s">
        <v>114</v>
      </c>
      <c r="AL128" s="86"/>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ht="15.75" customHeight="1">
      <c r="A129" s="1"/>
      <c r="B129" s="1"/>
      <c r="C129" s="1"/>
      <c r="D129" s="1"/>
      <c r="E129" s="1"/>
      <c r="F129" s="1"/>
      <c r="G129" s="1"/>
      <c r="H129" s="1"/>
      <c r="I129" s="34"/>
      <c r="J129" s="5"/>
      <c r="M129" s="23" t="s">
        <v>115</v>
      </c>
      <c r="N129" s="5"/>
      <c r="O129" s="5"/>
      <c r="Q129" s="23" t="s">
        <v>138</v>
      </c>
      <c r="R129" s="5"/>
      <c r="S129" s="5"/>
      <c r="T129" s="2"/>
      <c r="AA129" s="5"/>
      <c r="AB129" s="5"/>
      <c r="AC129" s="5"/>
      <c r="AD129" s="5"/>
      <c r="AE129" s="5"/>
      <c r="AF129" s="5"/>
      <c r="AG129" s="5"/>
      <c r="AL129" s="86"/>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row>
    <row r="130" ht="15.75" customHeight="1">
      <c r="A130" s="1"/>
      <c r="B130" s="1"/>
      <c r="C130" s="1"/>
      <c r="D130" s="1"/>
      <c r="E130" s="1"/>
      <c r="F130" s="1"/>
      <c r="G130" s="1"/>
      <c r="H130" s="1"/>
      <c r="I130" s="34"/>
      <c r="J130" s="5"/>
      <c r="K130" s="23" t="s">
        <v>139</v>
      </c>
      <c r="L130" s="5"/>
      <c r="M130" s="5"/>
      <c r="N130" s="5"/>
      <c r="O130" s="5"/>
      <c r="P130" s="5"/>
      <c r="Q130" s="5"/>
      <c r="R130" s="5"/>
      <c r="S130" s="119" t="str">
        <f>(K46-T36)*1000/2-J37</f>
        <v>1005.0 mm</v>
      </c>
      <c r="W130" s="5"/>
      <c r="X130" s="5"/>
      <c r="Y130" s="23" t="str">
        <f>IF(W128&lt;=S130,"»» reinforcement can be fully developed","»» Unsafe use smaller bars of increase h")</f>
        <v>»» reinforcement can be fully developed</v>
      </c>
      <c r="Z130" s="5"/>
      <c r="AA130" s="5"/>
      <c r="AB130" s="5"/>
      <c r="AC130" s="5"/>
      <c r="AD130" s="5"/>
      <c r="AE130" s="5"/>
      <c r="AF130" s="5"/>
      <c r="AG130" s="5"/>
      <c r="AH130" s="5"/>
      <c r="AI130" s="5"/>
      <c r="AJ130" s="5"/>
      <c r="AK130" s="5"/>
      <c r="AL130" s="86"/>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row>
    <row r="131" ht="4.5" customHeight="1">
      <c r="A131" s="1"/>
      <c r="B131" s="1"/>
      <c r="C131" s="1"/>
      <c r="D131" s="1"/>
      <c r="E131" s="1"/>
      <c r="F131" s="1"/>
      <c r="G131" s="1"/>
      <c r="H131" s="1"/>
      <c r="I131" s="34"/>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86"/>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row>
    <row r="132" ht="15.75" customHeight="1">
      <c r="A132" s="1"/>
      <c r="B132" s="1"/>
      <c r="C132" s="1"/>
      <c r="D132" s="1"/>
      <c r="E132" s="1"/>
      <c r="F132" s="1"/>
      <c r="G132" s="1"/>
      <c r="H132" s="1"/>
      <c r="I132" s="34"/>
      <c r="J132" s="5"/>
      <c r="K132" s="105" t="s">
        <v>102</v>
      </c>
      <c r="L132" s="5"/>
      <c r="M132" s="5"/>
      <c r="N132" s="5"/>
      <c r="O132" s="5"/>
      <c r="P132" s="5"/>
      <c r="Q132" s="5"/>
      <c r="R132" s="5"/>
      <c r="S132" s="5"/>
      <c r="T132" s="5"/>
      <c r="U132" s="114"/>
      <c r="V132" s="114"/>
      <c r="W132" s="5"/>
      <c r="X132" s="5"/>
      <c r="Y132" s="5"/>
      <c r="Z132" s="5"/>
      <c r="AA132" s="5"/>
      <c r="AB132" s="5"/>
      <c r="AC132" s="5"/>
      <c r="AD132" s="5"/>
      <c r="AE132" s="5"/>
      <c r="AF132" s="5"/>
      <c r="AG132" s="5"/>
      <c r="AH132" s="5"/>
      <c r="AI132" s="5"/>
      <c r="AJ132" s="5"/>
      <c r="AK132" s="5"/>
      <c r="AL132" s="86"/>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row>
    <row r="133" ht="4.5" customHeight="1">
      <c r="A133" s="1"/>
      <c r="B133" s="1"/>
      <c r="C133" s="1"/>
      <c r="D133" s="1"/>
      <c r="E133" s="1"/>
      <c r="F133" s="1"/>
      <c r="G133" s="1"/>
      <c r="H133" s="1"/>
      <c r="I133" s="34"/>
      <c r="J133" s="5"/>
      <c r="K133" s="5"/>
      <c r="L133" s="5"/>
      <c r="M133" s="5"/>
      <c r="N133" s="5"/>
      <c r="O133" s="5"/>
      <c r="P133" s="5"/>
      <c r="Q133" s="5"/>
      <c r="R133" s="5"/>
      <c r="S133" s="5"/>
      <c r="T133" s="5"/>
      <c r="U133" s="114"/>
      <c r="V133" s="114"/>
      <c r="W133" s="5"/>
      <c r="X133" s="5"/>
      <c r="Y133" s="5"/>
      <c r="Z133" s="5"/>
      <c r="AA133" s="5"/>
      <c r="AB133" s="5"/>
      <c r="AC133" s="5"/>
      <c r="AD133" s="5"/>
      <c r="AE133" s="5"/>
      <c r="AF133" s="5"/>
      <c r="AG133" s="5"/>
      <c r="AH133" s="5"/>
      <c r="AI133" s="5"/>
      <c r="AJ133" s="5"/>
      <c r="AK133" s="5"/>
      <c r="AL133" s="86"/>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row>
    <row r="134" ht="15.75" customHeight="1">
      <c r="A134" s="1"/>
      <c r="B134" s="1"/>
      <c r="C134" s="1"/>
      <c r="D134" s="1"/>
      <c r="E134" s="1"/>
      <c r="F134" s="1"/>
      <c r="G134" s="1"/>
      <c r="H134" s="1"/>
      <c r="I134" s="34"/>
      <c r="J134" s="5"/>
      <c r="K134" s="5" t="s">
        <v>140</v>
      </c>
      <c r="M134" s="102" t="s">
        <v>88</v>
      </c>
      <c r="N134" s="31"/>
      <c r="O134" s="31"/>
      <c r="P134" s="5" t="s">
        <v>111</v>
      </c>
      <c r="Q134" s="102" t="s">
        <v>141</v>
      </c>
      <c r="R134" s="31"/>
      <c r="S134" s="31"/>
      <c r="T134" s="31"/>
      <c r="U134" s="114" t="s">
        <v>142</v>
      </c>
      <c r="W134" s="5"/>
      <c r="X134" s="5"/>
      <c r="Y134" s="5"/>
      <c r="Z134" s="5"/>
      <c r="AA134" s="5"/>
      <c r="AB134" s="5"/>
      <c r="AC134" s="5"/>
      <c r="AD134" s="5"/>
      <c r="AE134" s="5"/>
      <c r="AF134" s="5"/>
      <c r="AG134" s="5"/>
      <c r="AH134" s="91" t="s">
        <v>114</v>
      </c>
      <c r="AL134" s="86"/>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row>
    <row r="135" ht="15.75" customHeight="1">
      <c r="A135" s="1"/>
      <c r="B135" s="1"/>
      <c r="C135" s="1"/>
      <c r="D135" s="1"/>
      <c r="E135" s="1"/>
      <c r="F135" s="1"/>
      <c r="G135" s="1"/>
      <c r="H135" s="1"/>
      <c r="I135" s="34"/>
      <c r="J135" s="5"/>
      <c r="M135" s="23" t="s">
        <v>115</v>
      </c>
      <c r="N135" s="5"/>
      <c r="O135" s="5"/>
      <c r="Q135" s="23" t="s">
        <v>143</v>
      </c>
      <c r="R135" s="5"/>
      <c r="S135" s="5"/>
      <c r="T135" s="2"/>
      <c r="W135" s="5"/>
      <c r="X135" s="5"/>
      <c r="Y135" s="5"/>
      <c r="Z135" s="5"/>
      <c r="AA135" s="5"/>
      <c r="AB135" s="5"/>
      <c r="AC135" s="5"/>
      <c r="AD135" s="5"/>
      <c r="AE135" s="5"/>
      <c r="AF135" s="5"/>
      <c r="AG135" s="5"/>
      <c r="AL135" s="86"/>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row>
    <row r="136" ht="15.75" customHeight="1">
      <c r="A136" s="1"/>
      <c r="B136" s="1"/>
      <c r="C136" s="1"/>
      <c r="D136" s="1"/>
      <c r="E136" s="1"/>
      <c r="F136" s="1"/>
      <c r="G136" s="1"/>
      <c r="H136" s="1"/>
      <c r="I136" s="34"/>
      <c r="J136" s="5"/>
      <c r="K136" s="23" t="s">
        <v>144</v>
      </c>
      <c r="R136" s="23" t="s">
        <v>118</v>
      </c>
      <c r="S136" s="5"/>
      <c r="T136" s="2"/>
      <c r="U136" s="2"/>
      <c r="V136" s="5" t="s">
        <v>68</v>
      </c>
      <c r="W136" s="115" t="str">
        <f>J37</f>
        <v>70.0 mm</v>
      </c>
      <c r="Z136" s="23" t="str">
        <f>IF(W136=MIN(W136,Y137),"(governs)","")</f>
        <v>(governs)</v>
      </c>
      <c r="AA136" s="5"/>
      <c r="AB136" s="5"/>
      <c r="AC136" s="5"/>
      <c r="AD136" s="5"/>
      <c r="AE136" s="5"/>
      <c r="AF136" s="5"/>
      <c r="AG136" s="5"/>
      <c r="AH136" s="116" t="s">
        <v>119</v>
      </c>
      <c r="AK136" s="5"/>
      <c r="AL136" s="86"/>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row>
    <row r="137" ht="15.75" customHeight="1">
      <c r="A137" s="1"/>
      <c r="B137" s="1"/>
      <c r="C137" s="1"/>
      <c r="D137" s="1"/>
      <c r="E137" s="1"/>
      <c r="F137" s="1"/>
      <c r="G137" s="1"/>
      <c r="H137" s="1"/>
      <c r="I137" s="34"/>
      <c r="J137" s="5"/>
      <c r="R137" s="23" t="s">
        <v>120</v>
      </c>
      <c r="S137" s="5"/>
      <c r="T137" s="5"/>
      <c r="U137" s="5"/>
      <c r="V137" s="5"/>
      <c r="W137" s="5"/>
      <c r="X137" s="5" t="s">
        <v>68</v>
      </c>
      <c r="Y137" s="115" t="str">
        <f>(K46*1000-2*J37-O20)/(K110-1)</f>
        <v>239.0 mm</v>
      </c>
      <c r="AB137" s="23" t="str">
        <f>IF(Y137=MIN(W136,Y137),"(governs)","")</f>
        <v/>
      </c>
      <c r="AC137" s="5"/>
      <c r="AD137" s="5"/>
      <c r="AE137" s="5"/>
      <c r="AF137" s="5"/>
      <c r="AG137" s="5"/>
      <c r="AK137" s="5"/>
      <c r="AL137" s="86"/>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row>
    <row r="138" ht="15.75" customHeight="1">
      <c r="A138" s="1"/>
      <c r="B138" s="1"/>
      <c r="C138" s="1"/>
      <c r="D138" s="1"/>
      <c r="E138" s="1"/>
      <c r="F138" s="1"/>
      <c r="G138" s="1"/>
      <c r="H138" s="1"/>
      <c r="I138" s="34"/>
      <c r="J138" s="5"/>
      <c r="K138" s="23" t="s">
        <v>121</v>
      </c>
      <c r="L138" s="5"/>
      <c r="M138" s="5"/>
      <c r="N138" s="5"/>
      <c r="O138" s="5"/>
      <c r="P138" s="5"/>
      <c r="Q138" s="5"/>
      <c r="R138" s="5"/>
      <c r="S138" s="5"/>
      <c r="T138" s="5"/>
      <c r="U138" s="5"/>
      <c r="V138" s="5"/>
      <c r="W138" s="5"/>
      <c r="X138" s="5"/>
      <c r="Y138" s="5"/>
      <c r="Z138" s="5"/>
      <c r="AA138" s="5"/>
      <c r="AB138" s="5"/>
      <c r="AC138" s="5"/>
      <c r="AD138" s="5"/>
      <c r="AE138" s="5"/>
      <c r="AF138" s="5"/>
      <c r="AG138" s="5"/>
      <c r="AK138" s="5"/>
      <c r="AL138" s="86"/>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row>
    <row r="139" ht="15.75" customHeight="1">
      <c r="A139" s="1"/>
      <c r="B139" s="1"/>
      <c r="C139" s="1"/>
      <c r="D139" s="1"/>
      <c r="E139" s="1"/>
      <c r="F139" s="1"/>
      <c r="G139" s="1"/>
      <c r="H139" s="1"/>
      <c r="I139" s="34"/>
      <c r="J139" s="5"/>
      <c r="K139" s="23" t="s">
        <v>145</v>
      </c>
      <c r="L139" s="5"/>
      <c r="M139" s="5"/>
      <c r="N139" s="2"/>
      <c r="O139" s="5"/>
      <c r="P139" s="5" t="str">
        <f>MIN(W136,Y137)/O20</f>
        <v>3.5</v>
      </c>
      <c r="Q139" s="2"/>
      <c r="R139" s="23" t="str">
        <f>IF(P139&gt;2.5,"&gt; 2.5 take it = 2.5","")</f>
        <v>&gt; 2.5 take it = 2.5</v>
      </c>
      <c r="S139" s="5"/>
      <c r="T139" s="5"/>
      <c r="U139" s="5"/>
      <c r="V139" s="5"/>
      <c r="W139" s="5"/>
      <c r="X139" s="5"/>
      <c r="Y139" s="5"/>
      <c r="Z139" s="5"/>
      <c r="AA139" s="5"/>
      <c r="AB139" s="5"/>
      <c r="AC139" s="5"/>
      <c r="AD139" s="5"/>
      <c r="AE139" s="5"/>
      <c r="AF139" s="5"/>
      <c r="AG139" s="5"/>
      <c r="AK139" s="5"/>
      <c r="AL139" s="86"/>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row>
    <row r="140" ht="15.75" customHeight="1">
      <c r="A140" s="1"/>
      <c r="B140" s="1"/>
      <c r="C140" s="1"/>
      <c r="D140" s="1"/>
      <c r="E140" s="1"/>
      <c r="F140" s="1"/>
      <c r="G140" s="1"/>
      <c r="H140" s="1"/>
      <c r="I140" s="34"/>
      <c r="J140" s="5"/>
      <c r="K140" s="5" t="s">
        <v>123</v>
      </c>
      <c r="L140" s="5" t="s">
        <v>68</v>
      </c>
      <c r="M140" s="5">
        <v>1.0</v>
      </c>
      <c r="N140" s="23" t="s">
        <v>124</v>
      </c>
      <c r="O140" s="5"/>
      <c r="P140" s="5"/>
      <c r="Q140" s="2"/>
      <c r="R140" s="5"/>
      <c r="S140" s="5"/>
      <c r="T140" s="5" t="s">
        <v>125</v>
      </c>
      <c r="X140" s="5" t="str">
        <f>M140*M141</f>
        <v>1</v>
      </c>
      <c r="Y140" s="5" t="str">
        <f>IF(X140&gt;1.7,"&gt; 1.7 take it = 1.7","&lt; 1.7")</f>
        <v>&lt; 1.7</v>
      </c>
      <c r="AA140" s="5"/>
      <c r="AB140" s="5"/>
      <c r="AC140" s="5"/>
      <c r="AD140" s="5"/>
      <c r="AE140" s="5"/>
      <c r="AF140" s="5"/>
      <c r="AG140" s="5"/>
      <c r="AH140" s="117" t="s">
        <v>126</v>
      </c>
      <c r="AI140" s="117"/>
      <c r="AJ140" s="117"/>
      <c r="AK140" s="5"/>
      <c r="AL140" s="86"/>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row>
    <row r="141" ht="15.75" customHeight="1">
      <c r="A141" s="1"/>
      <c r="B141" s="1"/>
      <c r="C141" s="1"/>
      <c r="D141" s="1"/>
      <c r="E141" s="1"/>
      <c r="F141" s="1"/>
      <c r="G141" s="1"/>
      <c r="H141" s="1"/>
      <c r="I141" s="34"/>
      <c r="J141" s="5"/>
      <c r="K141" s="5" t="s">
        <v>127</v>
      </c>
      <c r="L141" s="5" t="s">
        <v>68</v>
      </c>
      <c r="M141" s="5">
        <v>1.0</v>
      </c>
      <c r="N141" s="23" t="s">
        <v>128</v>
      </c>
      <c r="O141" s="5"/>
      <c r="P141" s="5"/>
      <c r="Q141" s="5"/>
      <c r="R141" s="5"/>
      <c r="S141" s="5"/>
      <c r="AA141" s="5"/>
      <c r="AB141" s="5"/>
      <c r="AC141" s="5"/>
      <c r="AD141" s="5"/>
      <c r="AE141" s="5"/>
      <c r="AF141" s="5"/>
      <c r="AG141" s="5"/>
      <c r="AH141" s="117" t="s">
        <v>129</v>
      </c>
      <c r="AI141" s="117"/>
      <c r="AJ141" s="117"/>
      <c r="AK141" s="5"/>
      <c r="AL141" s="86"/>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row>
    <row r="142" ht="15.75" customHeight="1">
      <c r="A142" s="1"/>
      <c r="B142" s="1"/>
      <c r="C142" s="1"/>
      <c r="D142" s="1"/>
      <c r="E142" s="1"/>
      <c r="F142" s="1"/>
      <c r="G142" s="1"/>
      <c r="H142" s="1"/>
      <c r="I142" s="34"/>
      <c r="J142" s="5"/>
      <c r="K142" s="5" t="s">
        <v>130</v>
      </c>
      <c r="L142" s="5" t="s">
        <v>68</v>
      </c>
      <c r="M142" s="118" t="str">
        <f>IF(O20&lt;=18,0.8,1)</f>
        <v>1</v>
      </c>
      <c r="N142" s="23" t="str">
        <f>IF(O20&lt;=18,"( smaller than No. 19 bars) ","( Larger than No 22 bars )")</f>
        <v>( Larger than No 22 bars )</v>
      </c>
      <c r="O142" s="5"/>
      <c r="P142" s="5"/>
      <c r="Q142" s="5"/>
      <c r="R142" s="5"/>
      <c r="S142" s="5"/>
      <c r="T142" s="5"/>
      <c r="U142" s="5"/>
      <c r="V142" s="5"/>
      <c r="W142" s="5"/>
      <c r="X142" s="5"/>
      <c r="Y142" s="5"/>
      <c r="Z142" s="5"/>
      <c r="AA142" s="5"/>
      <c r="AB142" s="5"/>
      <c r="AC142" s="5"/>
      <c r="AD142" s="5"/>
      <c r="AE142" s="5"/>
      <c r="AF142" s="5"/>
      <c r="AG142" s="5"/>
      <c r="AH142" s="117" t="s">
        <v>131</v>
      </c>
      <c r="AI142" s="117"/>
      <c r="AJ142" s="117"/>
      <c r="AK142" s="5"/>
      <c r="AL142" s="86"/>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row>
    <row r="143" ht="15.75" customHeight="1">
      <c r="A143" s="1"/>
      <c r="B143" s="1"/>
      <c r="C143" s="1"/>
      <c r="D143" s="1"/>
      <c r="E143" s="1"/>
      <c r="F143" s="1"/>
      <c r="G143" s="1"/>
      <c r="H143" s="1"/>
      <c r="I143" s="34"/>
      <c r="J143" s="5"/>
      <c r="K143" s="5" t="s">
        <v>132</v>
      </c>
      <c r="L143" s="5" t="s">
        <v>68</v>
      </c>
      <c r="M143" s="5">
        <v>1.0</v>
      </c>
      <c r="N143" s="23" t="s">
        <v>133</v>
      </c>
      <c r="O143" s="5"/>
      <c r="P143" s="5"/>
      <c r="Q143" s="5"/>
      <c r="R143" s="5"/>
      <c r="S143" s="5"/>
      <c r="T143" s="5"/>
      <c r="U143" s="5"/>
      <c r="V143" s="5"/>
      <c r="W143" s="5"/>
      <c r="X143" s="5"/>
      <c r="Y143" s="5"/>
      <c r="Z143" s="5"/>
      <c r="AA143" s="5"/>
      <c r="AB143" s="5"/>
      <c r="AC143" s="5"/>
      <c r="AD143" s="5"/>
      <c r="AE143" s="5"/>
      <c r="AF143" s="5"/>
      <c r="AG143" s="5"/>
      <c r="AH143" s="117" t="s">
        <v>134</v>
      </c>
      <c r="AI143" s="117"/>
      <c r="AJ143" s="117"/>
      <c r="AK143" s="5"/>
      <c r="AL143" s="86"/>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row>
    <row r="144" ht="15.75" customHeight="1">
      <c r="A144" s="1"/>
      <c r="B144" s="1"/>
      <c r="C144" s="1"/>
      <c r="D144" s="1"/>
      <c r="E144" s="1"/>
      <c r="F144" s="1"/>
      <c r="G144" s="1"/>
      <c r="H144" s="1"/>
      <c r="I144" s="34"/>
      <c r="J144" s="5"/>
      <c r="K144" s="5" t="s">
        <v>146</v>
      </c>
      <c r="M144" s="102" t="s">
        <v>88</v>
      </c>
      <c r="N144" s="31"/>
      <c r="O144" s="31"/>
      <c r="P144" s="5" t="s">
        <v>111</v>
      </c>
      <c r="Q144" s="102" t="s">
        <v>147</v>
      </c>
      <c r="R144" s="31"/>
      <c r="S144" s="31"/>
      <c r="T144" s="31"/>
      <c r="U144" s="114" t="s">
        <v>148</v>
      </c>
      <c r="W144" s="119" t="str">
        <f>((J36/(1.1*M143*(0.8*J34)^0.5))*(M140*M141*M142)/(IF(P139&gt;2.5,2.5,P139)))*O20</f>
        <v>415.7 mm</v>
      </c>
      <c r="AA144" s="5"/>
      <c r="AB144" s="5"/>
      <c r="AC144" s="5"/>
      <c r="AD144" s="5"/>
      <c r="AE144" s="5"/>
      <c r="AF144" s="5"/>
      <c r="AG144" s="5"/>
      <c r="AH144" s="91" t="s">
        <v>114</v>
      </c>
      <c r="AL144" s="86"/>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row>
    <row r="145" ht="15.75" customHeight="1">
      <c r="A145" s="1"/>
      <c r="B145" s="1"/>
      <c r="C145" s="1"/>
      <c r="D145" s="1"/>
      <c r="E145" s="1"/>
      <c r="F145" s="1"/>
      <c r="G145" s="1"/>
      <c r="H145" s="1"/>
      <c r="I145" s="22"/>
      <c r="J145" s="2"/>
      <c r="M145" s="23" t="s">
        <v>115</v>
      </c>
      <c r="N145" s="5"/>
      <c r="O145" s="5"/>
      <c r="Q145" s="23" t="s">
        <v>149</v>
      </c>
      <c r="R145" s="5"/>
      <c r="S145" s="5"/>
      <c r="T145" s="2"/>
      <c r="AA145" s="5"/>
      <c r="AB145" s="5"/>
      <c r="AC145" s="5"/>
      <c r="AD145" s="5"/>
      <c r="AE145" s="5"/>
      <c r="AF145" s="5"/>
      <c r="AG145" s="5"/>
      <c r="AL145" s="24"/>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row>
    <row r="146" ht="13.5" customHeight="1">
      <c r="A146" s="1"/>
      <c r="B146" s="1"/>
      <c r="C146" s="1"/>
      <c r="D146" s="1"/>
      <c r="E146" s="1"/>
      <c r="F146" s="1"/>
      <c r="G146" s="1"/>
      <c r="H146" s="1"/>
      <c r="I146" s="22"/>
      <c r="J146" s="2"/>
      <c r="K146" s="23" t="s">
        <v>150</v>
      </c>
      <c r="L146" s="5"/>
      <c r="M146" s="5"/>
      <c r="N146" s="5"/>
      <c r="O146" s="5"/>
      <c r="P146" s="5"/>
      <c r="Q146" s="5"/>
      <c r="R146" s="5"/>
      <c r="S146" s="119" t="str">
        <f>(K47-T37)*1000/2-J37</f>
        <v>1005.0 mm</v>
      </c>
      <c r="W146" s="5"/>
      <c r="X146" s="5"/>
      <c r="Y146" s="23" t="str">
        <f>IF(W144&lt;=S146,"»» reinforcement can be fully developed","»» Unsafe use smaller bars of increase h")</f>
        <v>»» reinforcement can be fully developed</v>
      </c>
      <c r="Z146" s="5"/>
      <c r="AA146" s="5"/>
      <c r="AB146" s="5"/>
      <c r="AC146" s="5"/>
      <c r="AD146" s="5"/>
      <c r="AE146" s="5"/>
      <c r="AF146" s="5"/>
      <c r="AG146" s="5"/>
      <c r="AH146" s="5"/>
      <c r="AI146" s="5"/>
      <c r="AJ146" s="5"/>
      <c r="AK146" s="2"/>
      <c r="AL146" s="24"/>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row>
    <row r="147" ht="4.5" customHeight="1">
      <c r="A147" s="1"/>
      <c r="B147" s="1"/>
      <c r="C147" s="1"/>
      <c r="D147" s="1"/>
      <c r="E147" s="1"/>
      <c r="F147" s="1"/>
      <c r="G147" s="1"/>
      <c r="H147" s="1"/>
      <c r="I147" s="2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4"/>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row>
    <row r="148" ht="15.75" customHeight="1">
      <c r="A148" s="1"/>
      <c r="B148" s="1"/>
      <c r="C148" s="1"/>
      <c r="D148" s="1"/>
      <c r="E148" s="1"/>
      <c r="F148" s="1"/>
      <c r="G148" s="1"/>
      <c r="H148" s="1"/>
      <c r="I148" s="34"/>
      <c r="J148" s="83" t="s">
        <v>151</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86"/>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row>
    <row r="149" ht="4.5" customHeight="1">
      <c r="A149" s="1"/>
      <c r="B149" s="1"/>
      <c r="C149" s="1"/>
      <c r="D149" s="1"/>
      <c r="E149" s="1"/>
      <c r="F149" s="1"/>
      <c r="G149" s="1"/>
      <c r="H149" s="1"/>
      <c r="I149" s="34"/>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86"/>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row>
    <row r="150" ht="15.75" customHeight="1">
      <c r="A150" s="1"/>
      <c r="B150" s="1"/>
      <c r="C150" s="1"/>
      <c r="D150" s="1"/>
      <c r="E150" s="1"/>
      <c r="F150" s="1"/>
      <c r="G150" s="1"/>
      <c r="H150" s="1"/>
      <c r="I150" s="34"/>
      <c r="J150" s="5"/>
      <c r="K150" s="5" t="s">
        <v>152</v>
      </c>
      <c r="L150" s="102" t="s">
        <v>153</v>
      </c>
      <c r="M150" s="31"/>
      <c r="N150" s="31"/>
      <c r="O150" s="104" t="s">
        <v>68</v>
      </c>
      <c r="P150" s="102" t="str">
        <f>R98*J36</f>
        <v>879200</v>
      </c>
      <c r="Q150" s="31"/>
      <c r="R150" s="31"/>
      <c r="S150" s="104" t="s">
        <v>68</v>
      </c>
      <c r="T150" s="119" t="str">
        <f>P150/P151</f>
        <v>18.3 mm</v>
      </c>
      <c r="W150" s="5"/>
      <c r="X150" s="5"/>
      <c r="Y150" s="5"/>
      <c r="Z150" s="5"/>
      <c r="AA150" s="5"/>
      <c r="AB150" s="5"/>
      <c r="AC150" s="5"/>
      <c r="AD150" s="5"/>
      <c r="AE150" s="5"/>
      <c r="AF150" s="5"/>
      <c r="AG150" s="5"/>
      <c r="AH150" s="1"/>
      <c r="AI150" s="5"/>
      <c r="AJ150" s="5"/>
      <c r="AK150" s="5"/>
      <c r="AL150" s="86"/>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row>
    <row r="151" ht="15.75" customHeight="1">
      <c r="A151" s="1"/>
      <c r="B151" s="1"/>
      <c r="C151" s="1"/>
      <c r="D151" s="1"/>
      <c r="E151" s="1"/>
      <c r="F151" s="1"/>
      <c r="G151" s="1"/>
      <c r="H151" s="1"/>
      <c r="I151" s="34"/>
      <c r="J151" s="5"/>
      <c r="L151" s="5" t="s">
        <v>154</v>
      </c>
      <c r="P151" s="5" t="str">
        <f>0.85*(0.8*J34)*K47*1000</f>
        <v>47940</v>
      </c>
      <c r="W151" s="5"/>
      <c r="X151" s="5"/>
      <c r="Y151" s="5"/>
      <c r="Z151" s="5"/>
      <c r="AA151" s="5"/>
      <c r="AB151" s="5"/>
      <c r="AC151" s="5"/>
      <c r="AD151" s="5"/>
      <c r="AE151" s="5"/>
      <c r="AF151" s="5"/>
      <c r="AG151" s="5"/>
      <c r="AH151" s="5"/>
      <c r="AI151" s="5"/>
      <c r="AJ151" s="5"/>
      <c r="AK151" s="5"/>
      <c r="AL151" s="86"/>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row>
    <row r="152" ht="15.75" customHeight="1">
      <c r="A152" s="1"/>
      <c r="B152" s="1"/>
      <c r="C152" s="1"/>
      <c r="D152" s="1"/>
      <c r="E152" s="1"/>
      <c r="F152" s="1"/>
      <c r="G152" s="1"/>
      <c r="H152" s="1"/>
      <c r="I152" s="34"/>
      <c r="J152" s="5"/>
      <c r="K152" s="5" t="s">
        <v>155</v>
      </c>
      <c r="L152" s="102" t="s">
        <v>156</v>
      </c>
      <c r="M152" s="104" t="s">
        <v>68</v>
      </c>
      <c r="N152" s="119" t="str">
        <f>T150/M82</f>
        <v>21.6 mm</v>
      </c>
      <c r="R152" s="5"/>
      <c r="S152" s="5"/>
      <c r="T152" s="5"/>
      <c r="U152" s="5"/>
      <c r="V152" s="5"/>
      <c r="W152" s="5"/>
      <c r="X152" s="5"/>
      <c r="Y152" s="5"/>
      <c r="Z152" s="5"/>
      <c r="AA152" s="5"/>
      <c r="AB152" s="5"/>
      <c r="AC152" s="5"/>
      <c r="AD152" s="5"/>
      <c r="AE152" s="5"/>
      <c r="AF152" s="5"/>
      <c r="AG152" s="5"/>
      <c r="AH152" s="5"/>
      <c r="AI152" s="5"/>
      <c r="AJ152" s="5"/>
      <c r="AK152" s="5"/>
      <c r="AL152" s="86"/>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row>
    <row r="153" ht="15.75" customHeight="1">
      <c r="A153" s="1"/>
      <c r="B153" s="1"/>
      <c r="C153" s="1"/>
      <c r="D153" s="1"/>
      <c r="E153" s="1"/>
      <c r="F153" s="1"/>
      <c r="G153" s="1"/>
      <c r="H153" s="1"/>
      <c r="I153" s="34"/>
      <c r="J153" s="5"/>
      <c r="L153" s="5" t="s">
        <v>157</v>
      </c>
      <c r="R153" s="5"/>
      <c r="S153" s="5"/>
      <c r="T153" s="5"/>
      <c r="U153" s="5"/>
      <c r="V153" s="5"/>
      <c r="W153" s="5"/>
      <c r="X153" s="5"/>
      <c r="Y153" s="5"/>
      <c r="Z153" s="5"/>
      <c r="AA153" s="5"/>
      <c r="AB153" s="5"/>
      <c r="AC153" s="5"/>
      <c r="AD153" s="5"/>
      <c r="AE153" s="5"/>
      <c r="AF153" s="5"/>
      <c r="AG153" s="5"/>
      <c r="AH153" s="5"/>
      <c r="AI153" s="5"/>
      <c r="AJ153" s="5"/>
      <c r="AK153" s="5"/>
      <c r="AL153" s="86"/>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row>
    <row r="154" ht="15.75" customHeight="1">
      <c r="A154" s="1"/>
      <c r="B154" s="1"/>
      <c r="C154" s="1"/>
      <c r="D154" s="1"/>
      <c r="E154" s="1"/>
      <c r="F154" s="1"/>
      <c r="G154" s="1"/>
      <c r="H154" s="1"/>
      <c r="I154" s="34"/>
      <c r="J154" s="5"/>
      <c r="K154" s="5" t="s">
        <v>158</v>
      </c>
      <c r="L154" s="5" t="s">
        <v>159</v>
      </c>
      <c r="M154" s="102">
        <v>0.003</v>
      </c>
      <c r="N154" s="31"/>
      <c r="O154" s="5" t="s">
        <v>160</v>
      </c>
      <c r="P154" s="104" t="s">
        <v>161</v>
      </c>
      <c r="S154" s="120" t="str">
        <f>(0.003/N152)*Y57-0.003</f>
        <v>0.0679</v>
      </c>
      <c r="V154" s="5" t="str">
        <f>IF(S154&gt;=0.005,"&gt; 0.005 section is tension controlled","&lt; 0.005 initial assumption wrong")</f>
        <v>&gt; 0.005 section is tension controlled</v>
      </c>
      <c r="AG154" s="5"/>
      <c r="AH154" s="91" t="s">
        <v>162</v>
      </c>
      <c r="AK154" s="5"/>
      <c r="AL154" s="86"/>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row>
    <row r="155" ht="15.75" customHeight="1">
      <c r="A155" s="1"/>
      <c r="B155" s="1"/>
      <c r="C155" s="1"/>
      <c r="D155" s="1"/>
      <c r="E155" s="1"/>
      <c r="F155" s="1"/>
      <c r="G155" s="1"/>
      <c r="H155" s="1"/>
      <c r="I155" s="34"/>
      <c r="J155" s="5"/>
      <c r="M155" s="121" t="s">
        <v>163</v>
      </c>
      <c r="N155" s="122"/>
      <c r="AG155" s="5"/>
      <c r="AK155" s="5"/>
      <c r="AL155" s="86"/>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row>
    <row r="156" ht="4.5" customHeight="1">
      <c r="A156" s="1"/>
      <c r="B156" s="1"/>
      <c r="C156" s="1"/>
      <c r="D156" s="1"/>
      <c r="E156" s="1"/>
      <c r="F156" s="1"/>
      <c r="G156" s="1"/>
      <c r="H156" s="1"/>
      <c r="I156" s="34"/>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86"/>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row>
    <row r="157" ht="13.5" customHeight="1">
      <c r="A157" s="1"/>
      <c r="B157" s="1"/>
      <c r="C157" s="1"/>
      <c r="D157" s="1"/>
      <c r="E157" s="1"/>
      <c r="F157" s="1"/>
      <c r="G157" s="1"/>
      <c r="H157" s="1"/>
      <c r="I157" s="22"/>
      <c r="J157" s="83" t="s">
        <v>164</v>
      </c>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4"/>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row>
    <row r="158" ht="4.5" customHeight="1">
      <c r="A158" s="1"/>
      <c r="B158" s="1"/>
      <c r="C158" s="1"/>
      <c r="D158" s="1"/>
      <c r="E158" s="1"/>
      <c r="F158" s="1"/>
      <c r="G158" s="1"/>
      <c r="H158" s="1"/>
      <c r="I158" s="2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4"/>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row>
    <row r="159" ht="15.0" customHeight="1">
      <c r="A159" s="1"/>
      <c r="B159" s="1"/>
      <c r="C159" s="1"/>
      <c r="D159" s="1"/>
      <c r="E159" s="1"/>
      <c r="F159" s="1"/>
      <c r="G159" s="1"/>
      <c r="H159" s="1"/>
      <c r="I159" s="22"/>
      <c r="J159" s="2"/>
      <c r="K159" s="123" t="s">
        <v>165</v>
      </c>
      <c r="L159" s="2"/>
      <c r="M159" s="2"/>
      <c r="N159" s="90"/>
      <c r="O159" s="90"/>
      <c r="P159" s="90"/>
      <c r="Q159" s="90"/>
      <c r="R159" s="2"/>
      <c r="S159" s="2"/>
      <c r="T159" s="2"/>
      <c r="U159" s="2"/>
      <c r="V159" s="2"/>
      <c r="W159" s="2"/>
      <c r="X159" s="2"/>
      <c r="Y159" s="2"/>
      <c r="Z159" s="2"/>
      <c r="AA159" s="2"/>
      <c r="AB159" s="2"/>
      <c r="AC159" s="2"/>
      <c r="AD159" s="2"/>
      <c r="AE159" s="2"/>
      <c r="AF159" s="2"/>
      <c r="AG159" s="2"/>
      <c r="AH159" s="2"/>
      <c r="AI159" s="2"/>
      <c r="AJ159" s="2"/>
      <c r="AK159" s="2"/>
      <c r="AL159" s="24"/>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row>
    <row r="160" ht="15.0" customHeight="1">
      <c r="A160" s="1"/>
      <c r="B160" s="1"/>
      <c r="C160" s="1"/>
      <c r="D160" s="1"/>
      <c r="E160" s="1"/>
      <c r="F160" s="1"/>
      <c r="G160" s="1"/>
      <c r="H160" s="1"/>
      <c r="I160" s="22"/>
      <c r="J160" s="1"/>
      <c r="K160" s="1"/>
      <c r="L160" s="23" t="s">
        <v>166</v>
      </c>
      <c r="M160" s="1"/>
      <c r="N160" s="1"/>
      <c r="O160" s="1"/>
      <c r="P160" s="1"/>
      <c r="Q160" s="1"/>
      <c r="R160" s="1"/>
      <c r="S160" s="1"/>
      <c r="T160" s="1"/>
      <c r="U160" s="1"/>
      <c r="V160" s="1"/>
      <c r="W160" s="1"/>
      <c r="X160" s="2"/>
      <c r="Y160" s="2"/>
      <c r="Z160" s="2"/>
      <c r="AA160" s="2"/>
      <c r="AB160" s="2"/>
      <c r="AC160" s="2"/>
      <c r="AD160" s="2"/>
      <c r="AE160" s="2"/>
      <c r="AF160" s="2"/>
      <c r="AG160" s="2"/>
      <c r="AH160" s="124" t="s">
        <v>167</v>
      </c>
      <c r="AI160" s="124"/>
      <c r="AJ160" s="124"/>
      <c r="AK160" s="2"/>
      <c r="AL160" s="24"/>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row>
    <row r="161" ht="15.0" customHeight="1">
      <c r="A161" s="1"/>
      <c r="B161" s="1"/>
      <c r="C161" s="1"/>
      <c r="D161" s="1"/>
      <c r="E161" s="1"/>
      <c r="F161" s="1"/>
      <c r="G161" s="1"/>
      <c r="H161" s="1"/>
      <c r="I161" s="22"/>
      <c r="J161" s="1"/>
      <c r="K161" s="1"/>
      <c r="L161" s="125" t="s">
        <v>168</v>
      </c>
      <c r="M161" s="2"/>
      <c r="N161" s="2"/>
      <c r="O161" s="2"/>
      <c r="P161" s="2"/>
      <c r="Q161" s="2"/>
      <c r="R161" s="2"/>
      <c r="S161" s="2"/>
      <c r="T161" s="2"/>
      <c r="U161" s="2"/>
      <c r="V161" s="2"/>
      <c r="W161" s="2"/>
      <c r="X161" s="2"/>
      <c r="Y161" s="2"/>
      <c r="Z161" s="1"/>
      <c r="AA161" s="1"/>
      <c r="AB161" s="1"/>
      <c r="AC161" s="1"/>
      <c r="AD161" s="1"/>
      <c r="AE161" s="1"/>
      <c r="AF161" s="1"/>
      <c r="AG161" s="2"/>
      <c r="AH161" s="124" t="s">
        <v>169</v>
      </c>
      <c r="AI161" s="124"/>
      <c r="AJ161" s="124"/>
      <c r="AK161" s="2"/>
      <c r="AL161" s="24"/>
      <c r="AM161" s="1"/>
      <c r="AN161" s="1"/>
      <c r="AO161" s="1"/>
      <c r="AP161" s="1"/>
      <c r="AQ161" s="92"/>
      <c r="AR161" s="92"/>
      <c r="AS161" s="92"/>
      <c r="AT161" s="92"/>
      <c r="AU161" s="92"/>
      <c r="AV161" s="92"/>
      <c r="AW161" s="92"/>
      <c r="AX161" s="92"/>
      <c r="AY161" s="92"/>
      <c r="AZ161" s="92"/>
      <c r="BA161" s="92"/>
      <c r="BB161" s="92"/>
      <c r="BC161" s="92"/>
      <c r="BD161" s="92"/>
      <c r="BE161" s="92"/>
      <c r="BF161" s="92"/>
      <c r="BG161" s="92"/>
      <c r="BH161" s="1"/>
      <c r="BI161" s="1"/>
      <c r="BJ161" s="1"/>
      <c r="BK161" s="1"/>
      <c r="BL161" s="1"/>
      <c r="BM161" s="1"/>
      <c r="BN161" s="1"/>
      <c r="BO161" s="1"/>
      <c r="BP161" s="1"/>
      <c r="BQ161" s="1"/>
      <c r="BR161" s="1"/>
      <c r="BS161" s="1"/>
    </row>
    <row r="162" ht="4.5" customHeight="1">
      <c r="A162" s="1"/>
      <c r="B162" s="1"/>
      <c r="C162" s="1"/>
      <c r="D162" s="1"/>
      <c r="E162" s="1"/>
      <c r="F162" s="1"/>
      <c r="G162" s="1"/>
      <c r="H162" s="1"/>
      <c r="I162" s="22"/>
      <c r="J162" s="1"/>
      <c r="K162" s="1"/>
      <c r="L162" s="125"/>
      <c r="M162" s="2"/>
      <c r="N162" s="2"/>
      <c r="O162" s="2"/>
      <c r="P162" s="2"/>
      <c r="Q162" s="2"/>
      <c r="R162" s="2"/>
      <c r="S162" s="2"/>
      <c r="T162" s="2"/>
      <c r="U162" s="2"/>
      <c r="V162" s="2"/>
      <c r="W162" s="2"/>
      <c r="X162" s="2"/>
      <c r="Y162" s="2"/>
      <c r="Z162" s="1"/>
      <c r="AA162" s="1"/>
      <c r="AB162" s="1"/>
      <c r="AC162" s="1"/>
      <c r="AD162" s="1"/>
      <c r="AE162" s="1"/>
      <c r="AF162" s="1"/>
      <c r="AG162" s="2"/>
      <c r="AH162" s="124"/>
      <c r="AI162" s="124"/>
      <c r="AJ162" s="124"/>
      <c r="AK162" s="2"/>
      <c r="AL162" s="24"/>
      <c r="AM162" s="1"/>
      <c r="AN162" s="1"/>
      <c r="AO162" s="1"/>
      <c r="AP162" s="1"/>
      <c r="AQ162" s="92"/>
      <c r="AR162" s="92"/>
      <c r="AS162" s="92"/>
      <c r="AT162" s="92"/>
      <c r="AU162" s="92"/>
      <c r="AV162" s="92"/>
      <c r="AW162" s="92"/>
      <c r="AX162" s="92"/>
      <c r="AY162" s="92"/>
      <c r="AZ162" s="92"/>
      <c r="BA162" s="92"/>
      <c r="BB162" s="92"/>
      <c r="BC162" s="92"/>
      <c r="BD162" s="92"/>
      <c r="BE162" s="92"/>
      <c r="BF162" s="92"/>
      <c r="BG162" s="92"/>
      <c r="BH162" s="1"/>
      <c r="BI162" s="1"/>
      <c r="BJ162" s="1"/>
      <c r="BK162" s="1"/>
      <c r="BL162" s="1"/>
      <c r="BM162" s="1"/>
      <c r="BN162" s="1"/>
      <c r="BO162" s="1"/>
      <c r="BP162" s="1"/>
      <c r="BQ162" s="1"/>
      <c r="BR162" s="1"/>
      <c r="BS162" s="1"/>
    </row>
    <row r="163" ht="13.5" customHeight="1">
      <c r="A163" s="1"/>
      <c r="B163" s="1"/>
      <c r="C163" s="1"/>
      <c r="D163" s="1"/>
      <c r="E163" s="1"/>
      <c r="F163" s="1"/>
      <c r="G163" s="1"/>
      <c r="H163" s="1"/>
      <c r="I163" s="22"/>
      <c r="J163" s="2"/>
      <c r="K163" s="2"/>
      <c r="L163" s="2" t="s">
        <v>170</v>
      </c>
      <c r="M163" s="2"/>
      <c r="N163" s="2"/>
      <c r="O163" s="126" t="str">
        <f>T36*T37*1000000</f>
        <v>80000.0 mm²</v>
      </c>
      <c r="U163" s="2"/>
      <c r="V163" s="2"/>
      <c r="W163" s="2"/>
      <c r="X163" s="2"/>
      <c r="Y163" s="2"/>
      <c r="Z163" s="1"/>
      <c r="AA163" s="1"/>
      <c r="AB163" s="1"/>
      <c r="AC163" s="1"/>
      <c r="AD163" s="1"/>
      <c r="AE163" s="1"/>
      <c r="AF163" s="1"/>
      <c r="AG163" s="2"/>
      <c r="AH163" s="2"/>
      <c r="AI163" s="2"/>
      <c r="AJ163" s="2"/>
      <c r="AK163" s="2"/>
      <c r="AL163" s="24"/>
      <c r="AM163" s="1"/>
      <c r="AN163" s="1"/>
      <c r="AO163" s="1"/>
      <c r="AP163" s="1"/>
      <c r="AQ163" s="92"/>
      <c r="AR163" s="92"/>
      <c r="AS163" s="92"/>
      <c r="AT163" s="92"/>
      <c r="AU163" s="92"/>
      <c r="AV163" s="92"/>
      <c r="AW163" s="92"/>
      <c r="AX163" s="92"/>
      <c r="AY163" s="92"/>
      <c r="AZ163" s="92"/>
      <c r="BA163" s="92"/>
      <c r="BB163" s="92"/>
      <c r="BC163" s="92"/>
      <c r="BD163" s="92"/>
      <c r="BE163" s="92"/>
      <c r="BF163" s="92"/>
      <c r="BG163" s="92"/>
      <c r="BH163" s="1"/>
      <c r="BI163" s="1"/>
      <c r="BJ163" s="1"/>
      <c r="BK163" s="1"/>
      <c r="BL163" s="1"/>
      <c r="BM163" s="1"/>
      <c r="BN163" s="1"/>
      <c r="BO163" s="1"/>
      <c r="BP163" s="1"/>
      <c r="BQ163" s="1"/>
      <c r="BR163" s="1"/>
      <c r="BS163" s="1"/>
    </row>
    <row r="164" ht="13.5" customHeight="1">
      <c r="A164" s="1"/>
      <c r="B164" s="1"/>
      <c r="C164" s="1"/>
      <c r="D164" s="1"/>
      <c r="E164" s="1"/>
      <c r="F164" s="1"/>
      <c r="G164" s="1"/>
      <c r="H164" s="1"/>
      <c r="I164" s="22"/>
      <c r="J164" s="2"/>
      <c r="K164" s="1"/>
      <c r="L164" s="2" t="s">
        <v>171</v>
      </c>
      <c r="M164" s="2"/>
      <c r="N164" s="126" t="str">
        <f>IF((K46-T36)/2&gt;2*U56/1000,4*U56/1000+T36,K46)*IF((K47-T37)/2&gt;2*U56/1000,4*U56/1000+T37,K47)*1000000</f>
        <v>5992500.0 mm²</v>
      </c>
      <c r="T164" s="2"/>
      <c r="U164" s="2"/>
      <c r="V164" s="2"/>
      <c r="W164" s="2"/>
      <c r="X164" s="2"/>
      <c r="Y164" s="2"/>
      <c r="Z164" s="2"/>
      <c r="AA164" s="2"/>
      <c r="AB164" s="2"/>
      <c r="AC164" s="2"/>
      <c r="AD164" s="2"/>
      <c r="AE164" s="2"/>
      <c r="AF164" s="2"/>
      <c r="AG164" s="2"/>
      <c r="AH164" s="2"/>
      <c r="AI164" s="2"/>
      <c r="AJ164" s="2"/>
      <c r="AK164" s="2"/>
      <c r="AL164" s="24"/>
      <c r="AM164" s="1"/>
      <c r="AN164" s="1"/>
      <c r="AO164" s="92"/>
      <c r="AP164" s="1"/>
      <c r="AQ164" s="92"/>
      <c r="AR164" s="92"/>
      <c r="AS164" s="92"/>
      <c r="AT164" s="92"/>
      <c r="AU164" s="92"/>
      <c r="AV164" s="92"/>
      <c r="AW164" s="92"/>
      <c r="AX164" s="92"/>
      <c r="AY164" s="92"/>
      <c r="AZ164" s="92"/>
      <c r="BA164" s="92"/>
      <c r="BB164" s="92"/>
      <c r="BC164" s="92"/>
      <c r="BD164" s="92"/>
      <c r="BE164" s="92"/>
      <c r="BF164" s="92"/>
      <c r="BG164" s="92"/>
      <c r="BH164" s="1"/>
      <c r="BI164" s="1"/>
      <c r="BJ164" s="1"/>
      <c r="BK164" s="1"/>
      <c r="BL164" s="1"/>
      <c r="BM164" s="1"/>
      <c r="BN164" s="1"/>
      <c r="BO164" s="1"/>
      <c r="BP164" s="1"/>
      <c r="BQ164" s="1"/>
      <c r="BR164" s="1"/>
      <c r="BS164" s="1"/>
    </row>
    <row r="165" ht="13.5" customHeight="1">
      <c r="A165" s="1"/>
      <c r="B165" s="1"/>
      <c r="C165" s="1"/>
      <c r="D165" s="1"/>
      <c r="E165" s="1"/>
      <c r="F165" s="1"/>
      <c r="G165" s="1"/>
      <c r="H165" s="1"/>
      <c r="I165" s="22"/>
      <c r="J165" s="2"/>
      <c r="K165" s="1"/>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4"/>
      <c r="AM165" s="1"/>
      <c r="AN165" s="1"/>
      <c r="AO165" s="92"/>
      <c r="AP165" s="1"/>
      <c r="AQ165" s="92"/>
      <c r="AR165" s="92"/>
      <c r="AS165" s="92"/>
      <c r="AT165" s="92"/>
      <c r="AU165" s="92"/>
      <c r="AV165" s="92"/>
      <c r="AW165" s="92"/>
      <c r="AX165" s="92"/>
      <c r="AY165" s="92"/>
      <c r="AZ165" s="92"/>
      <c r="BA165" s="92"/>
      <c r="BB165" s="92"/>
      <c r="BC165" s="92"/>
      <c r="BD165" s="92"/>
      <c r="BE165" s="92"/>
      <c r="BF165" s="92"/>
      <c r="BG165" s="92"/>
      <c r="BH165" s="1"/>
      <c r="BI165" s="1"/>
      <c r="BJ165" s="1"/>
      <c r="BK165" s="1"/>
      <c r="BL165" s="1"/>
      <c r="BM165" s="1"/>
      <c r="BN165" s="1"/>
      <c r="BO165" s="1"/>
      <c r="BP165" s="1"/>
      <c r="BQ165" s="1"/>
      <c r="BR165" s="1"/>
      <c r="BS165" s="1"/>
    </row>
    <row r="166" ht="13.5" customHeight="1">
      <c r="A166" s="1"/>
      <c r="B166" s="1"/>
      <c r="C166" s="1"/>
      <c r="D166" s="1"/>
      <c r="E166" s="1"/>
      <c r="F166" s="1"/>
      <c r="G166" s="1"/>
      <c r="H166" s="1"/>
      <c r="I166" s="22"/>
      <c r="J166" s="2"/>
      <c r="K166" s="2"/>
      <c r="L166" s="2"/>
      <c r="M166" s="2"/>
      <c r="N166" s="2" t="s">
        <v>68</v>
      </c>
      <c r="O166" s="127" t="str">
        <f>N164/O163</f>
        <v>74.9</v>
      </c>
      <c r="Q166" s="2"/>
      <c r="R166" s="23" t="str">
        <f>IF(O166&gt;2,"&gt; 2       take it = 2","")</f>
        <v>&gt; 2       take it = 2</v>
      </c>
      <c r="S166" s="2"/>
      <c r="T166" s="2"/>
      <c r="U166" s="2"/>
      <c r="V166" s="2"/>
      <c r="W166" s="2"/>
      <c r="X166" s="2"/>
      <c r="Y166" s="2"/>
      <c r="Z166" s="2"/>
      <c r="AA166" s="2"/>
      <c r="AB166" s="2"/>
      <c r="AC166" s="2"/>
      <c r="AD166" s="2"/>
      <c r="AE166" s="2"/>
      <c r="AF166" s="2"/>
      <c r="AG166" s="2"/>
      <c r="AH166" s="2"/>
      <c r="AI166" s="2"/>
      <c r="AJ166" s="2"/>
      <c r="AK166" s="2"/>
      <c r="AL166" s="24"/>
      <c r="AM166" s="1"/>
      <c r="AN166" s="92"/>
      <c r="AO166" s="96"/>
      <c r="AP166" s="92"/>
      <c r="AQ166" s="92"/>
      <c r="AR166" s="92"/>
      <c r="AS166" s="92"/>
      <c r="AT166" s="92"/>
      <c r="AU166" s="92"/>
      <c r="AV166" s="92"/>
      <c r="AW166" s="92"/>
      <c r="AX166" s="92"/>
      <c r="AY166" s="92"/>
      <c r="AZ166" s="92"/>
      <c r="BA166" s="92"/>
      <c r="BB166" s="92"/>
      <c r="BC166" s="92"/>
      <c r="BD166" s="92"/>
      <c r="BE166" s="92"/>
      <c r="BF166" s="92"/>
      <c r="BG166" s="92"/>
      <c r="BH166" s="1"/>
      <c r="BI166" s="1"/>
      <c r="BJ166" s="1"/>
      <c r="BK166" s="1"/>
      <c r="BL166" s="1"/>
      <c r="BM166" s="1"/>
      <c r="BN166" s="1"/>
      <c r="BO166" s="1"/>
      <c r="BP166" s="1"/>
      <c r="BQ166" s="1"/>
      <c r="BR166" s="1"/>
      <c r="BS166" s="1"/>
    </row>
    <row r="167" ht="13.5" customHeight="1">
      <c r="A167" s="1"/>
      <c r="B167" s="1"/>
      <c r="C167" s="1"/>
      <c r="D167" s="1"/>
      <c r="E167" s="1"/>
      <c r="F167" s="1"/>
      <c r="G167" s="1"/>
      <c r="H167" s="1"/>
      <c r="I167" s="2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4"/>
      <c r="AM167" s="1"/>
      <c r="AN167" s="92"/>
      <c r="AO167" s="96"/>
      <c r="AP167" s="92"/>
      <c r="AQ167" s="92"/>
      <c r="AR167" s="92"/>
      <c r="AS167" s="92"/>
      <c r="AT167" s="92"/>
      <c r="AU167" s="92"/>
      <c r="AV167" s="92"/>
      <c r="AW167" s="92"/>
      <c r="AX167" s="92"/>
      <c r="AY167" s="92"/>
      <c r="AZ167" s="92"/>
      <c r="BA167" s="92"/>
      <c r="BB167" s="92"/>
      <c r="BC167" s="92"/>
      <c r="BD167" s="92"/>
      <c r="BE167" s="92"/>
      <c r="BF167" s="92"/>
      <c r="BG167" s="92"/>
      <c r="BH167" s="1"/>
      <c r="BI167" s="1"/>
      <c r="BJ167" s="1"/>
      <c r="BK167" s="1"/>
      <c r="BL167" s="1"/>
      <c r="BM167" s="1"/>
      <c r="BN167" s="1"/>
      <c r="BO167" s="1"/>
      <c r="BP167" s="1"/>
      <c r="BQ167" s="1"/>
      <c r="BR167" s="1"/>
      <c r="BS167" s="1"/>
    </row>
    <row r="168" ht="13.5" customHeight="1">
      <c r="A168" s="1"/>
      <c r="B168" s="1"/>
      <c r="C168" s="1"/>
      <c r="D168" s="1"/>
      <c r="E168" s="1"/>
      <c r="F168" s="1"/>
      <c r="G168" s="1"/>
      <c r="H168" s="1"/>
      <c r="I168" s="22"/>
      <c r="J168" s="2"/>
      <c r="K168" s="2"/>
      <c r="L168" s="125" t="s">
        <v>172</v>
      </c>
      <c r="M168" s="2"/>
      <c r="N168" s="85" t="str">
        <f>0.65*0.85*(0.8*J34)*O163*MIN(2,O166)/1000</f>
        <v>2121.6 KN</v>
      </c>
      <c r="S168" s="2"/>
      <c r="T168" s="2"/>
      <c r="U168" s="2"/>
      <c r="V168" s="2"/>
      <c r="W168" s="2"/>
      <c r="X168" s="2"/>
      <c r="Y168" s="2"/>
      <c r="Z168" s="2"/>
      <c r="AA168" s="2"/>
      <c r="AB168" s="2"/>
      <c r="AC168" s="2"/>
      <c r="AD168" s="2"/>
      <c r="AE168" s="2"/>
      <c r="AF168" s="2"/>
      <c r="AG168" s="2"/>
      <c r="AH168" s="2"/>
      <c r="AI168" s="2"/>
      <c r="AJ168" s="2"/>
      <c r="AK168" s="2"/>
      <c r="AL168" s="24"/>
      <c r="AM168" s="1"/>
      <c r="AN168" s="96"/>
      <c r="AO168" s="96"/>
      <c r="AP168" s="96"/>
      <c r="AQ168" s="92"/>
      <c r="AR168" s="92"/>
      <c r="AS168" s="92"/>
      <c r="AT168" s="92"/>
      <c r="AU168" s="92"/>
      <c r="AV168" s="92"/>
      <c r="AW168" s="92"/>
      <c r="AX168" s="92"/>
      <c r="AY168" s="92"/>
      <c r="AZ168" s="92"/>
      <c r="BA168" s="92"/>
      <c r="BB168" s="92"/>
      <c r="BC168" s="92"/>
      <c r="BD168" s="92"/>
      <c r="BE168" s="92"/>
      <c r="BF168" s="92"/>
      <c r="BG168" s="92"/>
      <c r="BH168" s="1"/>
      <c r="BI168" s="1"/>
      <c r="BJ168" s="1"/>
      <c r="BK168" s="1"/>
      <c r="BL168" s="1"/>
      <c r="BM168" s="1"/>
      <c r="BN168" s="1"/>
      <c r="BO168" s="1"/>
      <c r="BP168" s="1"/>
      <c r="BQ168" s="1"/>
      <c r="BR168" s="1"/>
      <c r="BS168" s="1"/>
    </row>
    <row r="169" ht="4.5" customHeight="1">
      <c r="A169" s="1"/>
      <c r="B169" s="1"/>
      <c r="C169" s="1"/>
      <c r="D169" s="1"/>
      <c r="E169" s="1"/>
      <c r="F169" s="1"/>
      <c r="G169" s="1"/>
      <c r="H169" s="1"/>
      <c r="I169" s="2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4"/>
      <c r="AM169" s="1"/>
      <c r="AN169" s="96"/>
      <c r="AO169" s="96"/>
      <c r="AP169" s="96"/>
      <c r="AQ169" s="92"/>
      <c r="AR169" s="92"/>
      <c r="AS169" s="92"/>
      <c r="AT169" s="92"/>
      <c r="AU169" s="92"/>
      <c r="AV169" s="92"/>
      <c r="AW169" s="92"/>
      <c r="AX169" s="92"/>
      <c r="AY169" s="92"/>
      <c r="AZ169" s="92"/>
      <c r="BA169" s="92"/>
      <c r="BB169" s="92"/>
      <c r="BC169" s="92"/>
      <c r="BD169" s="92"/>
      <c r="BE169" s="92"/>
      <c r="BF169" s="92"/>
      <c r="BG169" s="92"/>
      <c r="BH169" s="1"/>
      <c r="BI169" s="1"/>
      <c r="BJ169" s="1"/>
      <c r="BK169" s="1"/>
      <c r="BL169" s="1"/>
      <c r="BM169" s="1"/>
      <c r="BN169" s="1"/>
      <c r="BO169" s="1"/>
      <c r="BP169" s="1"/>
      <c r="BQ169" s="1"/>
      <c r="BR169" s="1"/>
      <c r="BS169" s="1"/>
    </row>
    <row r="170" ht="13.5" customHeight="1">
      <c r="A170" s="1"/>
      <c r="B170" s="1"/>
      <c r="C170" s="1"/>
      <c r="D170" s="1"/>
      <c r="E170" s="1"/>
      <c r="F170" s="1"/>
      <c r="G170" s="1"/>
      <c r="H170" s="1"/>
      <c r="I170" s="22"/>
      <c r="J170" s="2"/>
      <c r="K170" s="123" t="s">
        <v>173</v>
      </c>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4"/>
      <c r="AM170" s="1"/>
      <c r="AN170" s="96"/>
      <c r="AO170" s="96"/>
      <c r="AP170" s="96"/>
      <c r="AQ170" s="92"/>
      <c r="AR170" s="92"/>
      <c r="AS170" s="92"/>
      <c r="AT170" s="92"/>
      <c r="AU170" s="92"/>
      <c r="AV170" s="92"/>
      <c r="AW170" s="92"/>
      <c r="AX170" s="92"/>
      <c r="AY170" s="92"/>
      <c r="AZ170" s="92"/>
      <c r="BA170" s="92"/>
      <c r="BB170" s="92"/>
      <c r="BC170" s="92"/>
      <c r="BD170" s="92"/>
      <c r="BE170" s="92"/>
      <c r="BF170" s="92"/>
      <c r="BG170" s="92"/>
      <c r="BH170" s="1"/>
      <c r="BI170" s="1"/>
      <c r="BJ170" s="1"/>
      <c r="BK170" s="1"/>
      <c r="BL170" s="1"/>
      <c r="BM170" s="1"/>
      <c r="BN170" s="1"/>
      <c r="BO170" s="1"/>
      <c r="BP170" s="1"/>
      <c r="BQ170" s="1"/>
      <c r="BR170" s="1"/>
      <c r="BS170" s="1"/>
    </row>
    <row r="171" ht="4.5" customHeight="1">
      <c r="A171" s="1"/>
      <c r="B171" s="1"/>
      <c r="C171" s="1"/>
      <c r="D171" s="1"/>
      <c r="E171" s="1"/>
      <c r="F171" s="1"/>
      <c r="G171" s="1"/>
      <c r="H171" s="1"/>
      <c r="I171" s="2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4"/>
      <c r="AM171" s="1"/>
      <c r="AN171" s="96"/>
      <c r="AO171" s="1"/>
      <c r="AP171" s="96"/>
      <c r="AQ171" s="92"/>
      <c r="AR171" s="92"/>
      <c r="AS171" s="92"/>
      <c r="AT171" s="92"/>
      <c r="AU171" s="92"/>
      <c r="AV171" s="92"/>
      <c r="AW171" s="92"/>
      <c r="AX171" s="92"/>
      <c r="AY171" s="92"/>
      <c r="AZ171" s="92"/>
      <c r="BA171" s="92"/>
      <c r="BB171" s="92"/>
      <c r="BC171" s="92"/>
      <c r="BD171" s="92"/>
      <c r="BE171" s="92"/>
      <c r="BF171" s="92"/>
      <c r="BG171" s="92"/>
      <c r="BH171" s="1"/>
      <c r="BI171" s="1"/>
      <c r="BJ171" s="1"/>
      <c r="BK171" s="1"/>
      <c r="BL171" s="1"/>
      <c r="BM171" s="1"/>
      <c r="BN171" s="1"/>
      <c r="BO171" s="1"/>
      <c r="BP171" s="1"/>
      <c r="BQ171" s="1"/>
      <c r="BR171" s="1"/>
      <c r="BS171" s="1"/>
    </row>
    <row r="172" ht="13.5" customHeight="1">
      <c r="A172" s="1"/>
      <c r="B172" s="1"/>
      <c r="C172" s="1"/>
      <c r="D172" s="1"/>
      <c r="E172" s="1"/>
      <c r="F172" s="1"/>
      <c r="G172" s="1"/>
      <c r="H172" s="1"/>
      <c r="I172" s="22"/>
      <c r="J172" s="2"/>
      <c r="K172" s="2"/>
      <c r="L172" s="125" t="s">
        <v>174</v>
      </c>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4"/>
      <c r="AM172" s="1"/>
      <c r="AN172" s="96"/>
      <c r="AO172" s="1"/>
      <c r="AP172" s="96"/>
      <c r="AQ172" s="92"/>
      <c r="AR172" s="92"/>
      <c r="AS172" s="92"/>
      <c r="AT172" s="92"/>
      <c r="AU172" s="92"/>
      <c r="AV172" s="92"/>
      <c r="AW172" s="92"/>
      <c r="AX172" s="92"/>
      <c r="AY172" s="92"/>
      <c r="AZ172" s="92"/>
      <c r="BA172" s="92"/>
      <c r="BB172" s="92"/>
      <c r="BC172" s="92"/>
      <c r="BD172" s="92"/>
      <c r="BE172" s="92"/>
      <c r="BF172" s="92"/>
      <c r="BG172" s="92"/>
      <c r="BH172" s="1"/>
      <c r="BI172" s="1"/>
      <c r="BJ172" s="1"/>
      <c r="BK172" s="1"/>
      <c r="BL172" s="1"/>
      <c r="BM172" s="1"/>
      <c r="BN172" s="1"/>
      <c r="BO172" s="1"/>
      <c r="BP172" s="1"/>
      <c r="BQ172" s="1"/>
      <c r="BR172" s="1"/>
      <c r="BS172" s="1"/>
    </row>
    <row r="173" ht="13.5" customHeight="1">
      <c r="A173" s="1"/>
      <c r="B173" s="1"/>
      <c r="C173" s="1"/>
      <c r="D173" s="1"/>
      <c r="E173" s="1"/>
      <c r="F173" s="1"/>
      <c r="G173" s="1"/>
      <c r="H173" s="1"/>
      <c r="I173" s="22"/>
      <c r="J173" s="2"/>
      <c r="K173" s="2"/>
      <c r="L173" s="125" t="s">
        <v>175</v>
      </c>
      <c r="M173" s="2"/>
      <c r="N173" s="85" t="str">
        <f>0.65*0.85*(0.8*J35)*O163/1000</f>
        <v>1060.8 KN</v>
      </c>
      <c r="S173" s="2"/>
      <c r="T173" s="2"/>
      <c r="U173" s="2"/>
      <c r="V173" s="2"/>
      <c r="W173" s="2"/>
      <c r="X173" s="2"/>
      <c r="Y173" s="2"/>
      <c r="Z173" s="2"/>
      <c r="AA173" s="2"/>
      <c r="AB173" s="2"/>
      <c r="AC173" s="2"/>
      <c r="AD173" s="2"/>
      <c r="AE173" s="2"/>
      <c r="AF173" s="2"/>
      <c r="AG173" s="2"/>
      <c r="AH173" s="2"/>
      <c r="AI173" s="2"/>
      <c r="AJ173" s="2"/>
      <c r="AK173" s="2"/>
      <c r="AL173" s="24"/>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row>
    <row r="174" ht="4.5" customHeight="1">
      <c r="A174" s="1"/>
      <c r="B174" s="1"/>
      <c r="C174" s="1"/>
      <c r="D174" s="1"/>
      <c r="E174" s="1"/>
      <c r="F174" s="1"/>
      <c r="G174" s="1"/>
      <c r="H174" s="1"/>
      <c r="I174" s="22"/>
      <c r="J174" s="2"/>
      <c r="K174" s="2"/>
      <c r="L174" s="2"/>
      <c r="M174" s="2"/>
      <c r="N174" s="2"/>
      <c r="O174" s="2"/>
      <c r="P174" s="2"/>
      <c r="Q174" s="2"/>
      <c r="R174" s="2"/>
      <c r="S174" s="2"/>
      <c r="T174" s="2"/>
      <c r="U174" s="2"/>
      <c r="V174" s="2"/>
      <c r="W174" s="1"/>
      <c r="X174" s="1"/>
      <c r="Y174" s="1"/>
      <c r="Z174" s="1"/>
      <c r="AA174" s="1"/>
      <c r="AB174" s="1"/>
      <c r="AC174" s="1"/>
      <c r="AD174" s="1"/>
      <c r="AE174" s="1"/>
      <c r="AF174" s="1"/>
      <c r="AG174" s="1"/>
      <c r="AH174" s="1"/>
      <c r="AI174" s="1"/>
      <c r="AJ174" s="1"/>
      <c r="AK174" s="2"/>
      <c r="AL174" s="24"/>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row>
    <row r="175" ht="13.5" customHeight="1">
      <c r="A175" s="1"/>
      <c r="B175" s="1"/>
      <c r="C175" s="1"/>
      <c r="D175" s="1"/>
      <c r="E175" s="1"/>
      <c r="F175" s="1"/>
      <c r="G175" s="1"/>
      <c r="H175" s="1"/>
      <c r="I175" s="22"/>
      <c r="J175" s="2"/>
      <c r="K175" s="2"/>
      <c r="L175" s="125" t="s">
        <v>176</v>
      </c>
      <c r="M175" s="2"/>
      <c r="N175" s="2"/>
      <c r="O175" s="2"/>
      <c r="P175" s="2"/>
      <c r="Q175" s="2"/>
      <c r="R175" s="2"/>
      <c r="S175" s="2"/>
      <c r="T175" s="2"/>
      <c r="U175" s="2"/>
      <c r="V175" s="2"/>
      <c r="W175" s="1"/>
      <c r="X175" s="1"/>
      <c r="Y175" s="1"/>
      <c r="Z175" s="1"/>
      <c r="AA175" s="1"/>
      <c r="AB175" s="1"/>
      <c r="AC175" s="1"/>
      <c r="AD175" s="1"/>
      <c r="AE175" s="1"/>
      <c r="AF175" s="1"/>
      <c r="AG175" s="1"/>
      <c r="AH175" s="1"/>
      <c r="AI175" s="1"/>
      <c r="AJ175" s="1"/>
      <c r="AK175" s="2"/>
      <c r="AL175" s="24"/>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row>
    <row r="176" ht="13.5" customHeight="1">
      <c r="A176" s="1"/>
      <c r="B176" s="1"/>
      <c r="C176" s="1"/>
      <c r="D176" s="1"/>
      <c r="E176" s="1"/>
      <c r="F176" s="1"/>
      <c r="G176" s="1"/>
      <c r="H176" s="1"/>
      <c r="I176" s="22"/>
      <c r="J176" s="2"/>
      <c r="K176" s="2"/>
      <c r="L176" s="125" t="s">
        <v>177</v>
      </c>
      <c r="M176" s="2"/>
      <c r="N176" s="85" t="str">
        <f>MIN(N168,N173)</f>
        <v>1060.8 KN</v>
      </c>
      <c r="S176" s="2"/>
      <c r="T176" s="2"/>
      <c r="U176" s="2"/>
      <c r="V176" s="2"/>
      <c r="W176" s="1"/>
      <c r="X176" s="1"/>
      <c r="Y176" s="23" t="str">
        <f>IF(N176&gt;S53,"&gt; Pu……Use As minimum","&lt; Pu…… Calculate As")</f>
        <v>&lt; Pu…… Calculate As</v>
      </c>
      <c r="Z176" s="1"/>
      <c r="AA176" s="1"/>
      <c r="AB176" s="1"/>
      <c r="AC176" s="1"/>
      <c r="AD176" s="1"/>
      <c r="AE176" s="1"/>
      <c r="AF176" s="1"/>
      <c r="AG176" s="1"/>
      <c r="AH176" s="1"/>
      <c r="AI176" s="1"/>
      <c r="AJ176" s="1"/>
      <c r="AK176" s="2"/>
      <c r="AL176" s="24"/>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ht="4.5" customHeight="1">
      <c r="A177" s="1"/>
      <c r="B177" s="1"/>
      <c r="C177" s="1"/>
      <c r="D177" s="1"/>
      <c r="E177" s="1"/>
      <c r="F177" s="1"/>
      <c r="G177" s="1"/>
      <c r="H177" s="1"/>
      <c r="I177" s="22"/>
      <c r="J177" s="2"/>
      <c r="K177" s="2"/>
      <c r="L177" s="125"/>
      <c r="M177" s="2"/>
      <c r="N177" s="85"/>
      <c r="O177" s="85"/>
      <c r="P177" s="85"/>
      <c r="Q177" s="85"/>
      <c r="R177" s="85"/>
      <c r="S177" s="2"/>
      <c r="T177" s="2"/>
      <c r="U177" s="2"/>
      <c r="V177" s="2"/>
      <c r="W177" s="1"/>
      <c r="X177" s="1"/>
      <c r="Y177" s="23"/>
      <c r="Z177" s="1"/>
      <c r="AA177" s="1"/>
      <c r="AB177" s="1"/>
      <c r="AC177" s="1"/>
      <c r="AD177" s="1"/>
      <c r="AE177" s="1"/>
      <c r="AF177" s="1"/>
      <c r="AG177" s="1"/>
      <c r="AH177" s="1"/>
      <c r="AI177" s="1"/>
      <c r="AJ177" s="1"/>
      <c r="AK177" s="2"/>
      <c r="AL177" s="24"/>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row>
    <row r="178" ht="13.5" customHeight="1">
      <c r="A178" s="1"/>
      <c r="B178" s="1"/>
      <c r="C178" s="1"/>
      <c r="D178" s="1"/>
      <c r="E178" s="1"/>
      <c r="F178" s="1"/>
      <c r="G178" s="1"/>
      <c r="H178" s="1"/>
      <c r="I178" s="22"/>
      <c r="J178" s="2"/>
      <c r="K178" s="123" t="s">
        <v>178</v>
      </c>
      <c r="L178" s="2"/>
      <c r="M178" s="2"/>
      <c r="N178" s="2"/>
      <c r="O178" s="2"/>
      <c r="P178" s="2"/>
      <c r="Q178" s="2"/>
      <c r="R178" s="2"/>
      <c r="S178" s="2"/>
      <c r="T178" s="2"/>
      <c r="U178" s="2"/>
      <c r="V178" s="2"/>
      <c r="W178" s="1"/>
      <c r="X178" s="1"/>
      <c r="Y178" s="1"/>
      <c r="Z178" s="1"/>
      <c r="AA178" s="1"/>
      <c r="AB178" s="1"/>
      <c r="AC178" s="1"/>
      <c r="AD178" s="1"/>
      <c r="AE178" s="1"/>
      <c r="AF178" s="1"/>
      <c r="AG178" s="1"/>
      <c r="AH178" s="1"/>
      <c r="AI178" s="1"/>
      <c r="AJ178" s="1"/>
      <c r="AK178" s="2"/>
      <c r="AL178" s="24"/>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row>
    <row r="179" ht="13.5" customHeight="1">
      <c r="A179" s="1"/>
      <c r="B179" s="1"/>
      <c r="C179" s="1"/>
      <c r="D179" s="1"/>
      <c r="E179" s="1"/>
      <c r="F179" s="1"/>
      <c r="G179" s="1"/>
      <c r="H179" s="1"/>
      <c r="I179" s="22"/>
      <c r="J179" s="2"/>
      <c r="K179" s="128" t="str">
        <f>IF(N176&gt;=S53,"true","false")</f>
        <v>false</v>
      </c>
      <c r="L179" s="1" t="s">
        <v>179</v>
      </c>
      <c r="M179" s="2"/>
      <c r="N179" s="2"/>
      <c r="O179" s="2"/>
      <c r="P179" s="2"/>
      <c r="Q179" s="2"/>
      <c r="R179" s="1"/>
      <c r="S179" s="1"/>
      <c r="T179" s="107" t="str">
        <f>(Q42-N176)*1000/(0.65*J36)</f>
        <v>661.4  mm²</v>
      </c>
      <c r="Y179" s="2"/>
      <c r="Z179" s="2"/>
      <c r="AA179" s="2"/>
      <c r="AB179" s="2"/>
      <c r="AC179" s="2"/>
      <c r="AD179" s="2"/>
      <c r="AE179" s="2"/>
      <c r="AF179" s="2"/>
      <c r="AG179" s="2"/>
      <c r="AH179" s="124" t="s">
        <v>180</v>
      </c>
      <c r="AI179" s="2"/>
      <c r="AJ179" s="2"/>
      <c r="AK179" s="2"/>
      <c r="AL179" s="24"/>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row>
    <row r="180" ht="13.5" customHeight="1">
      <c r="A180" s="1"/>
      <c r="B180" s="1"/>
      <c r="C180" s="1"/>
      <c r="D180" s="1"/>
      <c r="E180" s="1"/>
      <c r="F180" s="1"/>
      <c r="G180" s="1"/>
      <c r="H180" s="1"/>
      <c r="I180" s="22"/>
      <c r="J180" s="2"/>
      <c r="K180" s="2"/>
      <c r="L180" s="2" t="s">
        <v>181</v>
      </c>
      <c r="M180" s="2"/>
      <c r="N180" s="2"/>
      <c r="O180" s="2"/>
      <c r="P180" s="2"/>
      <c r="Q180" s="2"/>
      <c r="R180" s="107" t="str">
        <f>0.005*O163</f>
        <v>400.0  mm²</v>
      </c>
      <c r="W180" s="2"/>
      <c r="X180" s="2"/>
      <c r="Y180" s="2"/>
      <c r="Z180" s="2"/>
      <c r="AA180" s="2"/>
      <c r="AB180" s="2"/>
      <c r="AC180" s="2"/>
      <c r="AD180" s="2"/>
      <c r="AE180" s="2"/>
      <c r="AF180" s="2"/>
      <c r="AG180" s="2"/>
      <c r="AH180" s="124" t="s">
        <v>182</v>
      </c>
      <c r="AI180" s="2"/>
      <c r="AJ180" s="2"/>
      <c r="AK180" s="2"/>
      <c r="AL180" s="24"/>
      <c r="AM180" s="1"/>
      <c r="AN180" s="1"/>
      <c r="AO180" s="1"/>
      <c r="AP180" s="1"/>
      <c r="AQ180" s="92"/>
      <c r="AR180" s="92"/>
      <c r="AS180" s="92"/>
      <c r="AT180" s="92"/>
      <c r="AU180" s="92"/>
      <c r="AV180" s="92"/>
      <c r="AW180" s="92"/>
      <c r="AX180" s="92"/>
      <c r="AY180" s="92"/>
      <c r="AZ180" s="92"/>
      <c r="BA180" s="92"/>
      <c r="BB180" s="92"/>
      <c r="BC180" s="92"/>
      <c r="BD180" s="92"/>
      <c r="BE180" s="92"/>
      <c r="BF180" s="92"/>
      <c r="BG180" s="92"/>
      <c r="BH180" s="1"/>
      <c r="BI180" s="1"/>
      <c r="BJ180" s="1"/>
      <c r="BK180" s="1"/>
      <c r="BL180" s="1"/>
      <c r="BM180" s="1"/>
      <c r="BN180" s="1"/>
      <c r="BO180" s="1"/>
      <c r="BP180" s="1"/>
      <c r="BQ180" s="1"/>
      <c r="BR180" s="1"/>
      <c r="BS180" s="1"/>
    </row>
    <row r="181" ht="4.5" customHeight="1">
      <c r="A181" s="1"/>
      <c r="B181" s="1"/>
      <c r="C181" s="1"/>
      <c r="D181" s="1"/>
      <c r="E181" s="1"/>
      <c r="F181" s="1"/>
      <c r="G181" s="1"/>
      <c r="H181" s="1"/>
      <c r="I181" s="2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4"/>
      <c r="AM181" s="1"/>
      <c r="AN181" s="1"/>
      <c r="AO181" s="1"/>
      <c r="AP181" s="1"/>
      <c r="AQ181" s="92"/>
      <c r="AR181" s="92"/>
      <c r="AS181" s="92"/>
      <c r="AT181" s="92"/>
      <c r="AU181" s="92"/>
      <c r="AV181" s="92"/>
      <c r="AW181" s="92"/>
      <c r="AX181" s="92"/>
      <c r="AY181" s="92"/>
      <c r="AZ181" s="92"/>
      <c r="BA181" s="92"/>
      <c r="BB181" s="92"/>
      <c r="BC181" s="92"/>
      <c r="BD181" s="92"/>
      <c r="BE181" s="92"/>
      <c r="BF181" s="92"/>
      <c r="BG181" s="92"/>
      <c r="BH181" s="1"/>
      <c r="BI181" s="1"/>
      <c r="BJ181" s="1"/>
      <c r="BK181" s="1"/>
      <c r="BL181" s="1"/>
      <c r="BM181" s="1"/>
      <c r="BN181" s="1"/>
      <c r="BO181" s="1"/>
      <c r="BP181" s="1"/>
      <c r="BQ181" s="1"/>
      <c r="BR181" s="1"/>
      <c r="BS181" s="1"/>
    </row>
    <row r="182" ht="13.5" customHeight="1">
      <c r="A182" s="1"/>
      <c r="B182" s="1"/>
      <c r="C182" s="1"/>
      <c r="D182" s="1"/>
      <c r="E182" s="1"/>
      <c r="F182" s="1"/>
      <c r="G182" s="1"/>
      <c r="H182" s="1"/>
      <c r="I182" s="22"/>
      <c r="J182" s="2"/>
      <c r="K182" s="2"/>
      <c r="L182" s="2" t="s">
        <v>183</v>
      </c>
      <c r="M182" s="2"/>
      <c r="N182" s="1"/>
      <c r="O182" s="107" t="str">
        <f> MAX(T179,R180)</f>
        <v>661.4  mm²</v>
      </c>
      <c r="T182" s="2"/>
      <c r="U182" s="2"/>
      <c r="V182" s="2"/>
      <c r="W182" s="2"/>
      <c r="X182" s="2"/>
      <c r="Y182" s="1"/>
      <c r="Z182" s="1"/>
      <c r="AA182" s="1"/>
      <c r="AB182" s="1"/>
      <c r="AC182" s="1"/>
      <c r="AD182" s="2"/>
      <c r="AE182" s="2"/>
      <c r="AF182" s="2"/>
      <c r="AG182" s="2"/>
      <c r="AH182" s="2"/>
      <c r="AI182" s="2"/>
      <c r="AJ182" s="2"/>
      <c r="AK182" s="2"/>
      <c r="AL182" s="24"/>
      <c r="AM182" s="1"/>
      <c r="AN182" s="1"/>
      <c r="AO182" s="1"/>
      <c r="AP182" s="1"/>
      <c r="AQ182" s="92"/>
      <c r="AR182" s="92"/>
      <c r="AS182" s="92"/>
      <c r="AT182" s="92"/>
      <c r="AU182" s="92"/>
      <c r="AV182" s="92"/>
      <c r="AW182" s="92"/>
      <c r="AX182" s="92"/>
      <c r="AY182" s="92"/>
      <c r="AZ182" s="92"/>
      <c r="BA182" s="92"/>
      <c r="BB182" s="92"/>
      <c r="BC182" s="92"/>
      <c r="BD182" s="92"/>
      <c r="BE182" s="92"/>
      <c r="BF182" s="92"/>
      <c r="BG182" s="92"/>
      <c r="BH182" s="1"/>
      <c r="BI182" s="1"/>
      <c r="BJ182" s="1"/>
      <c r="BK182" s="1"/>
      <c r="BL182" s="1"/>
      <c r="BM182" s="1"/>
      <c r="BN182" s="1"/>
      <c r="BO182" s="1"/>
      <c r="BP182" s="1"/>
      <c r="BQ182" s="1"/>
      <c r="BR182" s="1"/>
      <c r="BS182" s="1"/>
    </row>
    <row r="183" ht="13.5" customHeight="1">
      <c r="A183" s="1"/>
      <c r="B183" s="1"/>
      <c r="C183" s="1"/>
      <c r="D183" s="1"/>
      <c r="E183" s="1"/>
      <c r="F183" s="1"/>
      <c r="G183" s="1"/>
      <c r="H183" s="1"/>
      <c r="I183" s="22"/>
      <c r="J183" s="2"/>
      <c r="K183" s="2"/>
      <c r="L183" s="108" t="str">
        <f>ROUNDUP(O182/(3.14*AK22^2*0.25),0)</f>
        <v>Use  4</v>
      </c>
      <c r="O183" s="109" t="str">
        <f>AK22</f>
        <v>Ø16</v>
      </c>
      <c r="Q183" s="23" t="s">
        <v>99</v>
      </c>
      <c r="R183" s="5"/>
      <c r="S183" s="110" t="str">
        <f>L183*3.14*O183^2*0.25</f>
        <v>803.8  mm² )</v>
      </c>
      <c r="X183" s="2"/>
      <c r="Y183" s="2"/>
      <c r="Z183" s="2"/>
      <c r="AA183" s="2"/>
      <c r="AB183" s="2"/>
      <c r="AC183" s="2"/>
      <c r="AD183" s="2"/>
      <c r="AE183" s="2"/>
      <c r="AF183" s="2"/>
      <c r="AG183" s="2"/>
      <c r="AH183" s="2"/>
      <c r="AI183" s="2"/>
      <c r="AJ183" s="2"/>
      <c r="AK183" s="2"/>
      <c r="AL183" s="24"/>
      <c r="AM183" s="1"/>
      <c r="AN183" s="1"/>
      <c r="AO183" s="1"/>
      <c r="AP183" s="1"/>
      <c r="AQ183" s="92"/>
      <c r="AR183" s="92"/>
      <c r="AS183" s="92"/>
      <c r="AT183" s="92"/>
      <c r="AU183" s="92"/>
      <c r="AV183" s="92"/>
      <c r="AW183" s="92"/>
      <c r="AX183" s="92"/>
      <c r="AY183" s="92"/>
      <c r="AZ183" s="92"/>
      <c r="BA183" s="92"/>
      <c r="BB183" s="92"/>
      <c r="BC183" s="92"/>
      <c r="BD183" s="92"/>
      <c r="BE183" s="92"/>
      <c r="BF183" s="92"/>
      <c r="BG183" s="92"/>
      <c r="BH183" s="1"/>
      <c r="BI183" s="1"/>
      <c r="BJ183" s="1"/>
      <c r="BK183" s="1"/>
      <c r="BL183" s="1"/>
      <c r="BM183" s="1"/>
      <c r="BN183" s="1"/>
      <c r="BO183" s="1"/>
      <c r="BP183" s="1"/>
      <c r="BQ183" s="1"/>
      <c r="BR183" s="1"/>
      <c r="BS183" s="1"/>
    </row>
    <row r="184" ht="13.5" customHeight="1">
      <c r="A184" s="1"/>
      <c r="B184" s="1"/>
      <c r="C184" s="1"/>
      <c r="D184" s="2"/>
      <c r="E184" s="2"/>
      <c r="F184" s="2"/>
      <c r="G184" s="2"/>
      <c r="H184" s="1"/>
      <c r="I184" s="22"/>
      <c r="J184" s="2"/>
      <c r="K184" s="2"/>
      <c r="L184" s="23" t="s">
        <v>184</v>
      </c>
      <c r="N184" s="102" t="s">
        <v>185</v>
      </c>
      <c r="O184" s="31"/>
      <c r="P184" s="31"/>
      <c r="Q184" s="31"/>
      <c r="R184" s="104" t="s">
        <v>68</v>
      </c>
      <c r="S184" s="5" t="str">
        <f>O182/S183</f>
        <v>0.8227677478</v>
      </c>
      <c r="U184" s="2"/>
      <c r="V184" s="2"/>
      <c r="W184" s="2"/>
      <c r="X184" s="2"/>
      <c r="Y184" s="2"/>
      <c r="Z184" s="2"/>
      <c r="AA184" s="2"/>
      <c r="AB184" s="2"/>
      <c r="AC184" s="2"/>
      <c r="AD184" s="2"/>
      <c r="AE184" s="2"/>
      <c r="AF184" s="2"/>
      <c r="AG184" s="2"/>
      <c r="AH184" s="124" t="s">
        <v>186</v>
      </c>
      <c r="AI184" s="2"/>
      <c r="AJ184" s="2"/>
      <c r="AK184" s="2"/>
      <c r="AL184" s="24"/>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row>
    <row r="185" ht="15.0" customHeight="1">
      <c r="A185" s="1"/>
      <c r="B185" s="1"/>
      <c r="C185" s="1"/>
      <c r="D185" s="1"/>
      <c r="E185" s="1"/>
      <c r="F185" s="1"/>
      <c r="G185" s="1"/>
      <c r="H185" s="1"/>
      <c r="I185" s="22"/>
      <c r="J185" s="2"/>
      <c r="K185" s="2"/>
      <c r="N185" s="5" t="s">
        <v>187</v>
      </c>
      <c r="U185" s="2"/>
      <c r="V185" s="2"/>
      <c r="W185" s="2"/>
      <c r="X185" s="2"/>
      <c r="Y185" s="2"/>
      <c r="Z185" s="2"/>
      <c r="AA185" s="2"/>
      <c r="AB185" s="2"/>
      <c r="AC185" s="2"/>
      <c r="AD185" s="2"/>
      <c r="AE185" s="2"/>
      <c r="AF185" s="2"/>
      <c r="AG185" s="2"/>
      <c r="AH185" s="1"/>
      <c r="AI185" s="2"/>
      <c r="AJ185" s="2"/>
      <c r="AK185" s="2"/>
      <c r="AL185" s="24"/>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row>
    <row r="186" ht="15.0" customHeight="1">
      <c r="A186" s="1"/>
      <c r="B186" s="1"/>
      <c r="C186" s="1"/>
      <c r="D186" s="1"/>
      <c r="E186" s="1"/>
      <c r="F186" s="1"/>
      <c r="G186" s="1"/>
      <c r="H186" s="1"/>
      <c r="I186" s="22"/>
      <c r="J186" s="2"/>
      <c r="K186" s="123" t="s">
        <v>188</v>
      </c>
      <c r="L186" s="23"/>
      <c r="M186" s="23"/>
      <c r="N186" s="5"/>
      <c r="O186" s="5"/>
      <c r="P186" s="5"/>
      <c r="Q186" s="5"/>
      <c r="R186" s="5"/>
      <c r="S186" s="5"/>
      <c r="T186" s="5"/>
      <c r="U186" s="2"/>
      <c r="V186" s="2"/>
      <c r="W186" s="2"/>
      <c r="X186" s="2"/>
      <c r="Y186" s="2"/>
      <c r="Z186" s="2"/>
      <c r="AA186" s="2"/>
      <c r="AB186" s="2"/>
      <c r="AC186" s="2"/>
      <c r="AD186" s="2"/>
      <c r="AE186" s="2"/>
      <c r="AF186" s="2"/>
      <c r="AG186" s="2"/>
      <c r="AH186" s="2"/>
      <c r="AI186" s="2"/>
      <c r="AJ186" s="2"/>
      <c r="AK186" s="2"/>
      <c r="AL186" s="24"/>
      <c r="AM186" s="1"/>
      <c r="AN186" s="1"/>
      <c r="AO186" s="1"/>
      <c r="AP186" s="1"/>
      <c r="AQ186" s="92"/>
      <c r="AR186" s="92"/>
      <c r="AS186" s="92"/>
      <c r="AT186" s="92"/>
      <c r="AU186" s="92"/>
      <c r="AV186" s="92"/>
      <c r="AW186" s="92"/>
      <c r="AX186" s="92"/>
      <c r="AY186" s="92"/>
      <c r="AZ186" s="92"/>
      <c r="BA186" s="92"/>
      <c r="BB186" s="92"/>
      <c r="BC186" s="92"/>
      <c r="BD186" s="92"/>
      <c r="BE186" s="92"/>
      <c r="BF186" s="92"/>
      <c r="BG186" s="92"/>
      <c r="BH186" s="1"/>
      <c r="BI186" s="1"/>
      <c r="BJ186" s="1"/>
      <c r="BK186" s="1"/>
      <c r="BL186" s="1"/>
      <c r="BM186" s="1"/>
      <c r="BN186" s="1"/>
      <c r="BO186" s="1"/>
      <c r="BP186" s="1"/>
      <c r="BQ186" s="1"/>
      <c r="BR186" s="1"/>
      <c r="BS186" s="1"/>
    </row>
    <row r="187" ht="4.5" customHeight="1">
      <c r="A187" s="1"/>
      <c r="B187" s="1"/>
      <c r="C187" s="1"/>
      <c r="D187" s="1"/>
      <c r="E187" s="1"/>
      <c r="F187" s="1"/>
      <c r="G187" s="1"/>
      <c r="H187" s="1"/>
      <c r="I187" s="22"/>
      <c r="J187" s="2"/>
      <c r="K187" s="123"/>
      <c r="L187" s="23"/>
      <c r="M187" s="23"/>
      <c r="N187" s="5"/>
      <c r="O187" s="5"/>
      <c r="P187" s="5"/>
      <c r="Q187" s="5"/>
      <c r="R187" s="5"/>
      <c r="S187" s="5"/>
      <c r="T187" s="5"/>
      <c r="U187" s="2"/>
      <c r="V187" s="2"/>
      <c r="W187" s="2"/>
      <c r="X187" s="2"/>
      <c r="Y187" s="2"/>
      <c r="Z187" s="2"/>
      <c r="AA187" s="2"/>
      <c r="AB187" s="2"/>
      <c r="AC187" s="2"/>
      <c r="AD187" s="2"/>
      <c r="AE187" s="2"/>
      <c r="AF187" s="2"/>
      <c r="AG187" s="2"/>
      <c r="AH187" s="2"/>
      <c r="AI187" s="2"/>
      <c r="AJ187" s="2"/>
      <c r="AK187" s="2"/>
      <c r="AL187" s="24"/>
      <c r="AM187" s="1"/>
      <c r="AN187" s="1"/>
      <c r="AO187" s="1"/>
      <c r="AP187" s="1"/>
      <c r="AQ187" s="92"/>
      <c r="AR187" s="92"/>
      <c r="AS187" s="92"/>
      <c r="AT187" s="92"/>
      <c r="AU187" s="92"/>
      <c r="AV187" s="92"/>
      <c r="AW187" s="92"/>
      <c r="AX187" s="92"/>
      <c r="AY187" s="92"/>
      <c r="AZ187" s="92"/>
      <c r="BA187" s="92"/>
      <c r="BB187" s="92"/>
      <c r="BC187" s="92"/>
      <c r="BD187" s="92"/>
      <c r="BE187" s="92"/>
      <c r="BF187" s="92"/>
      <c r="BG187" s="92"/>
      <c r="BH187" s="1"/>
      <c r="BI187" s="1"/>
      <c r="BJ187" s="1"/>
      <c r="BK187" s="1"/>
      <c r="BL187" s="1"/>
      <c r="BM187" s="1"/>
      <c r="BN187" s="1"/>
      <c r="BO187" s="1"/>
      <c r="BP187" s="1"/>
      <c r="BQ187" s="1"/>
      <c r="BR187" s="1"/>
      <c r="BS187" s="1"/>
    </row>
    <row r="188" ht="15.0" customHeight="1">
      <c r="A188" s="1"/>
      <c r="B188" s="1"/>
      <c r="C188" s="1"/>
      <c r="D188" s="1"/>
      <c r="E188" s="1"/>
      <c r="F188" s="1"/>
      <c r="G188" s="1"/>
      <c r="H188" s="1"/>
      <c r="I188" s="22"/>
      <c r="J188" s="2"/>
      <c r="K188" s="2"/>
      <c r="L188" s="129" t="s">
        <v>189</v>
      </c>
      <c r="M188" s="23"/>
      <c r="N188" s="5"/>
      <c r="O188" s="5"/>
      <c r="P188" s="5"/>
      <c r="Q188" s="5"/>
      <c r="R188" s="5"/>
      <c r="S188" s="5"/>
      <c r="T188" s="5"/>
      <c r="U188" s="2"/>
      <c r="V188" s="2"/>
      <c r="W188" s="2"/>
      <c r="X188" s="2"/>
      <c r="Y188" s="2"/>
      <c r="Z188" s="2"/>
      <c r="AA188" s="2"/>
      <c r="AB188" s="2"/>
      <c r="AC188" s="2"/>
      <c r="AD188" s="2"/>
      <c r="AE188" s="2"/>
      <c r="AF188" s="2"/>
      <c r="AG188" s="2"/>
      <c r="AH188" s="2"/>
      <c r="AI188" s="2"/>
      <c r="AJ188" s="2"/>
      <c r="AK188" s="2"/>
      <c r="AL188" s="24"/>
      <c r="AM188" s="1"/>
      <c r="AN188" s="1"/>
      <c r="AO188" s="1"/>
      <c r="AP188" s="1"/>
      <c r="AQ188" s="92"/>
      <c r="AR188" s="92"/>
      <c r="AS188" s="92"/>
      <c r="AT188" s="92"/>
      <c r="AU188" s="92"/>
      <c r="AV188" s="92"/>
      <c r="AW188" s="92"/>
      <c r="AX188" s="92"/>
      <c r="AY188" s="92"/>
      <c r="AZ188" s="92"/>
      <c r="BA188" s="92"/>
      <c r="BB188" s="92"/>
      <c r="BC188" s="92"/>
      <c r="BD188" s="92"/>
      <c r="BE188" s="92"/>
      <c r="BF188" s="92"/>
      <c r="BG188" s="92"/>
      <c r="BH188" s="1"/>
      <c r="BI188" s="1"/>
      <c r="BJ188" s="1"/>
      <c r="BK188" s="1"/>
      <c r="BL188" s="1"/>
      <c r="BM188" s="1"/>
      <c r="BN188" s="1"/>
      <c r="BO188" s="1"/>
      <c r="BP188" s="1"/>
      <c r="BQ188" s="1"/>
      <c r="BR188" s="1"/>
      <c r="BS188" s="1"/>
    </row>
    <row r="189" ht="15.0" customHeight="1">
      <c r="A189" s="1"/>
      <c r="B189" s="1"/>
      <c r="C189" s="1"/>
      <c r="D189" s="1"/>
      <c r="E189" s="1"/>
      <c r="F189" s="1"/>
      <c r="G189" s="1"/>
      <c r="H189" s="1"/>
      <c r="I189" s="22"/>
      <c r="J189" s="2"/>
      <c r="K189" s="2"/>
      <c r="L189" s="23" t="s">
        <v>190</v>
      </c>
      <c r="M189" s="23"/>
      <c r="N189" s="5"/>
      <c r="O189" s="5"/>
      <c r="P189" s="5"/>
      <c r="Q189" s="5"/>
      <c r="R189" s="130" t="s">
        <v>191</v>
      </c>
      <c r="T189" s="115" t="str">
        <f>0.24*J36/(0.8*J34)^0.5*O183</f>
        <v>219.5 mm</v>
      </c>
      <c r="X189" s="23" t="str">
        <f>IF(T189=MAX(T189:W190),"(governs)","")</f>
        <v>(governs)</v>
      </c>
      <c r="Y189" s="1"/>
      <c r="Z189" s="1"/>
      <c r="AA189" s="1"/>
      <c r="AB189" s="1"/>
      <c r="AC189" s="1"/>
      <c r="AD189" s="2"/>
      <c r="AE189" s="2"/>
      <c r="AF189" s="2"/>
      <c r="AG189" s="2"/>
      <c r="AH189" s="124" t="s">
        <v>192</v>
      </c>
      <c r="AI189" s="2"/>
      <c r="AJ189" s="2"/>
      <c r="AK189" s="2"/>
      <c r="AL189" s="24"/>
      <c r="AM189" s="1"/>
      <c r="AN189" s="1"/>
      <c r="AO189" s="1"/>
      <c r="AP189" s="1"/>
      <c r="AQ189" s="92"/>
      <c r="AR189" s="92"/>
      <c r="AS189" s="92"/>
      <c r="AT189" s="92"/>
      <c r="AU189" s="92"/>
      <c r="AV189" s="92"/>
      <c r="AW189" s="92"/>
      <c r="AX189" s="92"/>
      <c r="AY189" s="92"/>
      <c r="AZ189" s="92"/>
      <c r="BA189" s="92"/>
      <c r="BB189" s="92"/>
      <c r="BC189" s="92"/>
      <c r="BD189" s="92"/>
      <c r="BE189" s="92"/>
      <c r="BF189" s="92"/>
      <c r="BG189" s="92"/>
      <c r="BH189" s="1"/>
      <c r="BI189" s="1"/>
      <c r="BJ189" s="1"/>
      <c r="BK189" s="1"/>
      <c r="BL189" s="1"/>
      <c r="BM189" s="1"/>
      <c r="BN189" s="1"/>
      <c r="BO189" s="1"/>
      <c r="BP189" s="1"/>
      <c r="BQ189" s="1"/>
      <c r="BR189" s="1"/>
      <c r="BS189" s="1"/>
    </row>
    <row r="190" ht="13.5" customHeight="1">
      <c r="A190" s="1"/>
      <c r="B190" s="1"/>
      <c r="C190" s="1"/>
      <c r="D190" s="1"/>
      <c r="E190" s="1"/>
      <c r="F190" s="1"/>
      <c r="G190" s="1"/>
      <c r="H190" s="1"/>
      <c r="I190" s="22"/>
      <c r="J190" s="2"/>
      <c r="K190" s="2"/>
      <c r="L190" s="23" t="s">
        <v>193</v>
      </c>
      <c r="M190" s="23"/>
      <c r="N190" s="5"/>
      <c r="O190" s="5"/>
      <c r="P190" s="5"/>
      <c r="Q190" s="5"/>
      <c r="R190" s="5"/>
      <c r="S190" s="1"/>
      <c r="T190" s="115" t="str">
        <f>0.043*J36*O183</f>
        <v>192.6 mm</v>
      </c>
      <c r="X190" s="23" t="str">
        <f>IF(T190=MAX(T189:W190),"(governs)","")</f>
        <v/>
      </c>
      <c r="Y190" s="1"/>
      <c r="Z190" s="2"/>
      <c r="AA190" s="2"/>
      <c r="AB190" s="2"/>
      <c r="AC190" s="2"/>
      <c r="AD190" s="2"/>
      <c r="AE190" s="2"/>
      <c r="AF190" s="2"/>
      <c r="AG190" s="2"/>
      <c r="AH190" s="2"/>
      <c r="AI190" s="2"/>
      <c r="AJ190" s="2"/>
      <c r="AK190" s="2"/>
      <c r="AL190" s="24"/>
      <c r="AM190" s="1"/>
      <c r="AN190" s="1"/>
      <c r="AO190" s="1"/>
      <c r="AP190" s="1"/>
      <c r="AQ190" s="92"/>
      <c r="AR190" s="92"/>
      <c r="AS190" s="92"/>
      <c r="AT190" s="92"/>
      <c r="AU190" s="92"/>
      <c r="AV190" s="92"/>
      <c r="AW190" s="92"/>
      <c r="AX190" s="92"/>
      <c r="AY190" s="92"/>
      <c r="AZ190" s="92"/>
      <c r="BA190" s="92"/>
      <c r="BB190" s="92"/>
      <c r="BC190" s="92"/>
      <c r="BD190" s="92"/>
      <c r="BE190" s="92"/>
      <c r="BF190" s="92"/>
      <c r="BG190" s="92"/>
      <c r="BH190" s="1"/>
      <c r="BI190" s="1"/>
      <c r="BJ190" s="1"/>
      <c r="BK190" s="1"/>
      <c r="BL190" s="1"/>
      <c r="BM190" s="1"/>
      <c r="BN190" s="1"/>
      <c r="BO190" s="1"/>
      <c r="BP190" s="1"/>
      <c r="BQ190" s="1"/>
      <c r="BR190" s="1"/>
      <c r="BS190" s="1"/>
    </row>
    <row r="191" ht="13.5" customHeight="1">
      <c r="A191" s="1"/>
      <c r="B191" s="1"/>
      <c r="C191" s="1"/>
      <c r="D191" s="1"/>
      <c r="E191" s="1"/>
      <c r="F191" s="1"/>
      <c r="G191" s="1"/>
      <c r="H191" s="1"/>
      <c r="I191" s="22"/>
      <c r="J191" s="2"/>
      <c r="K191" s="2"/>
      <c r="L191" s="23" t="s">
        <v>194</v>
      </c>
      <c r="M191" s="23"/>
      <c r="N191" s="5"/>
      <c r="O191" s="5"/>
      <c r="P191" s="5"/>
      <c r="Q191" s="115" t="str">
        <f>S184*MAX(T189:W190)</f>
        <v>180.6 mm</v>
      </c>
      <c r="U191" s="115"/>
      <c r="V191" s="115"/>
      <c r="W191" s="115"/>
      <c r="X191" s="23"/>
      <c r="Y191" s="1"/>
      <c r="Z191" s="2"/>
      <c r="AA191" s="2"/>
      <c r="AB191" s="2"/>
      <c r="AC191" s="2"/>
      <c r="AD191" s="2"/>
      <c r="AE191" s="2"/>
      <c r="AF191" s="2"/>
      <c r="AG191" s="2"/>
      <c r="AH191" s="124" t="s">
        <v>186</v>
      </c>
      <c r="AI191" s="2"/>
      <c r="AJ191" s="2"/>
      <c r="AK191" s="2"/>
      <c r="AL191" s="24"/>
      <c r="AM191" s="1"/>
      <c r="AN191" s="1"/>
      <c r="AO191" s="1"/>
      <c r="AP191" s="1"/>
      <c r="AQ191" s="92"/>
      <c r="AR191" s="92"/>
      <c r="AS191" s="92"/>
      <c r="AT191" s="92"/>
      <c r="AU191" s="92"/>
      <c r="AV191" s="92"/>
      <c r="AW191" s="92"/>
      <c r="AX191" s="92"/>
      <c r="AY191" s="92"/>
      <c r="AZ191" s="92"/>
      <c r="BA191" s="92"/>
      <c r="BB191" s="92"/>
      <c r="BC191" s="92"/>
      <c r="BD191" s="92"/>
      <c r="BE191" s="92"/>
      <c r="BF191" s="92"/>
      <c r="BG191" s="92"/>
      <c r="BH191" s="1"/>
      <c r="BI191" s="1"/>
      <c r="BJ191" s="1"/>
      <c r="BK191" s="1"/>
      <c r="BL191" s="1"/>
      <c r="BM191" s="1"/>
      <c r="BN191" s="1"/>
      <c r="BO191" s="1"/>
      <c r="BP191" s="1"/>
      <c r="BQ191" s="1"/>
      <c r="BR191" s="1"/>
      <c r="BS191" s="1"/>
    </row>
    <row r="192" ht="13.5" customHeight="1">
      <c r="A192" s="1"/>
      <c r="B192" s="1"/>
      <c r="C192" s="1"/>
      <c r="D192" s="1"/>
      <c r="E192" s="1"/>
      <c r="F192" s="1"/>
      <c r="G192" s="1"/>
      <c r="H192" s="1"/>
      <c r="I192" s="22"/>
      <c r="J192" s="2"/>
      <c r="K192" s="2"/>
      <c r="L192" s="23" t="s">
        <v>195</v>
      </c>
      <c r="M192" s="23"/>
      <c r="N192" s="5"/>
      <c r="O192" s="5"/>
      <c r="P192" s="5"/>
      <c r="Q192" s="5"/>
      <c r="R192" s="5"/>
      <c r="S192" s="1"/>
      <c r="T192" s="1"/>
      <c r="U192" s="1"/>
      <c r="V192" s="1"/>
      <c r="W192" s="115" t="str">
        <f>AD37-J37-O22-O20-AK22</f>
        <v>474.0 mm</v>
      </c>
      <c r="AA192" s="2"/>
      <c r="AB192" s="23" t="str">
        <f>IF(W192&gt;=Q191,"&gt; Ldc……safe","Unsafe")</f>
        <v>&gt; Ldc……safe</v>
      </c>
      <c r="AC192" s="2"/>
      <c r="AD192" s="2"/>
      <c r="AE192" s="2"/>
      <c r="AF192" s="2"/>
      <c r="AG192" s="2"/>
      <c r="AH192" s="2"/>
      <c r="AI192" s="2"/>
      <c r="AJ192" s="2"/>
      <c r="AK192" s="2"/>
      <c r="AL192" s="24"/>
      <c r="AM192" s="1"/>
      <c r="AN192" s="1"/>
      <c r="AO192" s="1"/>
      <c r="AP192" s="1"/>
      <c r="AQ192" s="92"/>
      <c r="AR192" s="92"/>
      <c r="AS192" s="92"/>
      <c r="AT192" s="92"/>
      <c r="AU192" s="92"/>
      <c r="AV192" s="92"/>
      <c r="AW192" s="92"/>
      <c r="AX192" s="92"/>
      <c r="AY192" s="92"/>
      <c r="AZ192" s="92"/>
      <c r="BA192" s="92"/>
      <c r="BB192" s="92"/>
      <c r="BC192" s="92"/>
      <c r="BD192" s="92"/>
      <c r="BE192" s="92"/>
      <c r="BF192" s="92"/>
      <c r="BG192" s="92"/>
      <c r="BH192" s="1"/>
      <c r="BI192" s="1"/>
      <c r="BJ192" s="1"/>
      <c r="BK192" s="1"/>
      <c r="BL192" s="1"/>
      <c r="BM192" s="1"/>
      <c r="BN192" s="1"/>
      <c r="BO192" s="1"/>
      <c r="BP192" s="1"/>
      <c r="BQ192" s="1"/>
      <c r="BR192" s="1"/>
      <c r="BS192" s="1"/>
    </row>
    <row r="193" ht="15.0" customHeight="1">
      <c r="A193" s="1"/>
      <c r="B193" s="1"/>
      <c r="C193" s="1"/>
      <c r="D193" s="1"/>
      <c r="E193" s="1"/>
      <c r="F193" s="1"/>
      <c r="G193" s="1"/>
      <c r="H193" s="1"/>
      <c r="I193" s="22"/>
      <c r="J193" s="2"/>
      <c r="K193" s="2"/>
      <c r="L193" s="23"/>
      <c r="M193" s="23"/>
      <c r="N193" s="5"/>
      <c r="O193" s="5"/>
      <c r="P193" s="5"/>
      <c r="Q193" s="5"/>
      <c r="R193" s="5"/>
      <c r="S193" s="5"/>
      <c r="T193" s="5"/>
      <c r="U193" s="1"/>
      <c r="V193" s="1"/>
      <c r="W193" s="1"/>
      <c r="X193" s="1"/>
      <c r="Y193" s="1"/>
      <c r="Z193" s="2"/>
      <c r="AA193" s="2"/>
      <c r="AB193" s="2"/>
      <c r="AC193" s="2"/>
      <c r="AD193" s="2"/>
      <c r="AE193" s="2"/>
      <c r="AF193" s="2"/>
      <c r="AG193" s="2"/>
      <c r="AH193" s="2"/>
      <c r="AI193" s="2"/>
      <c r="AJ193" s="2"/>
      <c r="AK193" s="2"/>
      <c r="AL193" s="24"/>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row>
    <row r="194" ht="13.5" customHeight="1">
      <c r="A194" s="1"/>
      <c r="B194" s="1"/>
      <c r="C194" s="1"/>
      <c r="D194" s="1"/>
      <c r="E194" s="1"/>
      <c r="F194" s="1"/>
      <c r="G194" s="1"/>
      <c r="H194" s="1"/>
      <c r="I194" s="22"/>
      <c r="J194" s="2"/>
      <c r="K194" s="2"/>
      <c r="L194" s="129" t="s">
        <v>196</v>
      </c>
      <c r="M194" s="23"/>
      <c r="N194" s="5"/>
      <c r="O194" s="5"/>
      <c r="P194" s="5"/>
      <c r="Q194" s="5"/>
      <c r="R194" s="5"/>
      <c r="S194" s="5"/>
      <c r="T194" s="5"/>
      <c r="U194" s="2"/>
      <c r="V194" s="2"/>
      <c r="W194" s="2"/>
      <c r="X194" s="2"/>
      <c r="Y194" s="2"/>
      <c r="Z194" s="2"/>
      <c r="AA194" s="2"/>
      <c r="AB194" s="2"/>
      <c r="AC194" s="2"/>
      <c r="AD194" s="2"/>
      <c r="AE194" s="2"/>
      <c r="AF194" s="2"/>
      <c r="AG194" s="2"/>
      <c r="AH194" s="2"/>
      <c r="AI194" s="2"/>
      <c r="AJ194" s="2"/>
      <c r="AK194" s="2"/>
      <c r="AL194" s="24"/>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row>
    <row r="195" ht="13.5" customHeight="1">
      <c r="A195" s="1"/>
      <c r="B195" s="1"/>
      <c r="C195" s="1"/>
      <c r="D195" s="1"/>
      <c r="E195" s="1"/>
      <c r="F195" s="1"/>
      <c r="G195" s="1"/>
      <c r="H195" s="1"/>
      <c r="I195" s="22"/>
      <c r="J195" s="2"/>
      <c r="K195" s="2"/>
      <c r="L195" s="131" t="s">
        <v>197</v>
      </c>
      <c r="M195" s="23"/>
      <c r="N195" s="5"/>
      <c r="O195" s="5"/>
      <c r="P195" s="5"/>
      <c r="Q195" s="5"/>
      <c r="R195" s="5"/>
      <c r="S195" s="5"/>
      <c r="T195" s="5"/>
      <c r="U195" s="2"/>
      <c r="V195" s="2"/>
      <c r="W195" s="2"/>
      <c r="X195" s="2"/>
      <c r="Y195" s="2"/>
      <c r="Z195" s="2"/>
      <c r="AA195" s="2"/>
      <c r="AB195" s="2"/>
      <c r="AC195" s="2"/>
      <c r="AD195" s="2"/>
      <c r="AE195" s="2"/>
      <c r="AF195" s="2"/>
      <c r="AG195" s="2"/>
      <c r="AH195" s="2"/>
      <c r="AI195" s="2"/>
      <c r="AJ195" s="2"/>
      <c r="AK195" s="2"/>
      <c r="AL195" s="24"/>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row>
    <row r="196" ht="13.5" customHeight="1">
      <c r="A196" s="1"/>
      <c r="B196" s="1"/>
      <c r="C196" s="1"/>
      <c r="D196" s="1"/>
      <c r="E196" s="1"/>
      <c r="F196" s="1"/>
      <c r="G196" s="1"/>
      <c r="H196" s="1"/>
      <c r="I196" s="22"/>
      <c r="J196" s="2"/>
      <c r="K196" s="13" t="str">
        <f>IF(J36&gt;420,TRUE,FALSE)</f>
        <v>FALSE</v>
      </c>
      <c r="L196" s="23" t="s">
        <v>198</v>
      </c>
      <c r="M196" s="23"/>
      <c r="N196" s="5"/>
      <c r="O196" s="5"/>
      <c r="P196" s="5"/>
      <c r="Q196" s="5"/>
      <c r="R196" s="115" t="str">
        <f>0.071*J36*O183</f>
        <v>318.1 mm</v>
      </c>
      <c r="V196" s="1"/>
      <c r="W196" s="1"/>
      <c r="X196" s="23" t="str">
        <f>IF(R196=MAX(T196:W198),"(governs)","")</f>
        <v/>
      </c>
      <c r="Y196" s="1" t="str">
        <f>IF(R196&lt;300,"&lt; 300mm …. Take it = 300mm","&gt; 300mm……… safe")</f>
        <v>&gt; 300mm……… safe</v>
      </c>
      <c r="Z196" s="1"/>
      <c r="AA196" s="2"/>
      <c r="AB196" s="2"/>
      <c r="AC196" s="2"/>
      <c r="AD196" s="2"/>
      <c r="AE196" s="2"/>
      <c r="AF196" s="2"/>
      <c r="AG196" s="2"/>
      <c r="AH196" s="124" t="s">
        <v>199</v>
      </c>
      <c r="AI196" s="2"/>
      <c r="AJ196" s="2"/>
      <c r="AK196" s="2"/>
      <c r="AL196" s="24"/>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row>
    <row r="197" ht="13.5" customHeight="1">
      <c r="A197" s="1"/>
      <c r="B197" s="1"/>
      <c r="C197" s="1"/>
      <c r="D197" s="1"/>
      <c r="E197" s="1"/>
      <c r="F197" s="1"/>
      <c r="G197" s="1"/>
      <c r="H197" s="1"/>
      <c r="I197" s="22"/>
      <c r="J197" s="2"/>
      <c r="K197" s="13" t="str">
        <f>IF(J36&lt;=420,TRUE,FALSE)</f>
        <v>TRUE</v>
      </c>
      <c r="L197" s="23" t="s">
        <v>200</v>
      </c>
      <c r="M197" s="23"/>
      <c r="N197" s="5"/>
      <c r="O197" s="5"/>
      <c r="P197" s="5"/>
      <c r="Q197" s="5"/>
      <c r="R197" s="2"/>
      <c r="S197" s="115" t="str">
        <f>(0.13*J36-24)*O183</f>
        <v>198.4 mm</v>
      </c>
      <c r="W197" s="132"/>
      <c r="X197" s="23"/>
      <c r="Y197" s="2" t="str">
        <f>IF(S197&lt;300,"&lt; 300mm …. Take it = 300mm","&gt; 300mm……… safe")</f>
        <v>&lt; 300mm …. Take it = 300mm</v>
      </c>
      <c r="Z197" s="2"/>
      <c r="AA197" s="2"/>
      <c r="AB197" s="2"/>
      <c r="AC197" s="2"/>
      <c r="AD197" s="2"/>
      <c r="AE197" s="2"/>
      <c r="AF197" s="2"/>
      <c r="AG197" s="2"/>
      <c r="AH197" s="2"/>
      <c r="AI197" s="2"/>
      <c r="AJ197" s="2"/>
      <c r="AK197" s="2"/>
      <c r="AL197" s="24"/>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row>
    <row r="198" ht="15.0" customHeight="1">
      <c r="A198" s="1"/>
      <c r="B198" s="1"/>
      <c r="C198" s="1"/>
      <c r="D198" s="1"/>
      <c r="E198" s="1"/>
      <c r="F198" s="1"/>
      <c r="G198" s="1"/>
      <c r="H198" s="1"/>
      <c r="I198" s="22"/>
      <c r="J198" s="2"/>
      <c r="K198" s="13" t="str">
        <f>IF(0.8*J35&gt;=21,TRUE,FALSE)</f>
        <v>TRUE</v>
      </c>
      <c r="L198" s="23" t="s">
        <v>201</v>
      </c>
      <c r="M198" s="23"/>
      <c r="N198" s="5"/>
      <c r="O198" s="5"/>
      <c r="P198" s="115" t="str">
        <f>IF(J36&lt;=420,1.33*R196,1.33*S197)</f>
        <v>423.0 mm</v>
      </c>
      <c r="T198" s="1"/>
      <c r="U198" s="1"/>
      <c r="V198" s="1"/>
      <c r="W198" s="1"/>
      <c r="X198" s="2"/>
      <c r="Y198" s="2"/>
      <c r="Z198" s="2"/>
      <c r="AA198" s="2"/>
      <c r="AB198" s="2"/>
      <c r="AC198" s="2"/>
      <c r="AD198" s="2"/>
      <c r="AE198" s="2"/>
      <c r="AF198" s="2"/>
      <c r="AG198" s="2"/>
      <c r="AH198" s="124" t="s">
        <v>199</v>
      </c>
      <c r="AI198" s="2"/>
      <c r="AJ198" s="2"/>
      <c r="AK198" s="2"/>
      <c r="AL198" s="24"/>
      <c r="AM198" s="1"/>
      <c r="AN198" s="1"/>
      <c r="AO198" s="1"/>
      <c r="AP198" s="1"/>
      <c r="AQ198" s="133"/>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row>
    <row r="199" ht="15.0" customHeight="1">
      <c r="A199" s="1"/>
      <c r="B199" s="1"/>
      <c r="C199" s="1"/>
      <c r="D199" s="1"/>
      <c r="E199" s="1"/>
      <c r="F199" s="1"/>
      <c r="G199" s="1"/>
      <c r="H199" s="1"/>
      <c r="I199" s="22"/>
      <c r="J199" s="2"/>
      <c r="K199" s="1"/>
      <c r="L199" s="131" t="s">
        <v>202</v>
      </c>
      <c r="M199" s="134"/>
      <c r="N199" s="134"/>
      <c r="O199" s="134"/>
      <c r="P199" s="134"/>
      <c r="Q199" s="134"/>
      <c r="R199" s="134"/>
      <c r="S199" s="134"/>
      <c r="T199" s="1"/>
      <c r="U199" s="1"/>
      <c r="V199" s="1"/>
      <c r="W199" s="1"/>
      <c r="X199" s="1"/>
      <c r="Y199" s="1"/>
      <c r="Z199" s="1"/>
      <c r="AA199" s="2"/>
      <c r="AB199" s="2"/>
      <c r="AC199" s="2"/>
      <c r="AD199" s="2"/>
      <c r="AE199" s="2"/>
      <c r="AF199" s="2"/>
      <c r="AG199" s="2"/>
      <c r="AH199" s="2"/>
      <c r="AI199" s="2"/>
      <c r="AJ199" s="2"/>
      <c r="AK199" s="2"/>
      <c r="AL199" s="24"/>
      <c r="AM199" s="1"/>
      <c r="AN199" s="1"/>
      <c r="AO199" s="1"/>
      <c r="AP199" s="1"/>
      <c r="AQ199" s="133"/>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row>
    <row r="200" ht="13.5" customHeight="1">
      <c r="A200" s="1"/>
      <c r="B200" s="1"/>
      <c r="C200" s="1"/>
      <c r="D200" s="1"/>
      <c r="E200" s="1"/>
      <c r="F200" s="1"/>
      <c r="G200" s="1"/>
      <c r="H200" s="1"/>
      <c r="I200" s="22"/>
      <c r="J200" s="2"/>
      <c r="K200" s="2"/>
      <c r="L200" s="23" t="s">
        <v>203</v>
      </c>
      <c r="M200" s="23"/>
      <c r="N200" s="5"/>
      <c r="O200" s="5"/>
      <c r="P200" s="5"/>
      <c r="Q200" s="5"/>
      <c r="R200" s="130" t="s">
        <v>204</v>
      </c>
      <c r="T200" s="115" t="str">
        <f>0.24*J36/(0.8*J35)^0.5*AK20</f>
        <v>219.5 mm</v>
      </c>
      <c r="X200" s="23" t="str">
        <f>IF(T200=MAX(T200:W201),"(governs)","")</f>
        <v>(governs)</v>
      </c>
      <c r="Y200" s="1"/>
      <c r="Z200" s="1"/>
      <c r="AA200" s="2"/>
      <c r="AB200" s="2"/>
      <c r="AC200" s="2"/>
      <c r="AD200" s="2"/>
      <c r="AE200" s="2"/>
      <c r="AF200" s="2"/>
      <c r="AG200" s="2"/>
      <c r="AH200" s="124" t="s">
        <v>192</v>
      </c>
      <c r="AI200" s="2"/>
      <c r="AJ200" s="2"/>
      <c r="AK200" s="2"/>
      <c r="AL200" s="24"/>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row>
    <row r="201" ht="13.5" customHeight="1">
      <c r="A201" s="1"/>
      <c r="B201" s="1"/>
      <c r="C201" s="1"/>
      <c r="D201" s="1"/>
      <c r="E201" s="1"/>
      <c r="F201" s="1"/>
      <c r="G201" s="1"/>
      <c r="H201" s="1"/>
      <c r="I201" s="22"/>
      <c r="J201" s="2"/>
      <c r="K201" s="2"/>
      <c r="L201" s="23" t="s">
        <v>205</v>
      </c>
      <c r="M201" s="23"/>
      <c r="N201" s="5"/>
      <c r="O201" s="5"/>
      <c r="P201" s="5"/>
      <c r="Q201" s="5"/>
      <c r="R201" s="5"/>
      <c r="S201" s="1"/>
      <c r="T201" s="115" t="str">
        <f>0.043*J36*AK20</f>
        <v>192.6 mm</v>
      </c>
      <c r="X201" s="23" t="str">
        <f>IF(T201=MAX(T200:W201),"(governs)","")</f>
        <v/>
      </c>
      <c r="Y201" s="1"/>
      <c r="Z201" s="2"/>
      <c r="AA201" s="2"/>
      <c r="AB201" s="2"/>
      <c r="AC201" s="2"/>
      <c r="AD201" s="2"/>
      <c r="AE201" s="2"/>
      <c r="AF201" s="2"/>
      <c r="AG201" s="2"/>
      <c r="AH201" s="2"/>
      <c r="AI201" s="2"/>
      <c r="AJ201" s="2"/>
      <c r="AK201" s="2"/>
      <c r="AL201" s="24"/>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row>
    <row r="202" ht="13.5" customHeight="1">
      <c r="A202" s="1"/>
      <c r="B202" s="1"/>
      <c r="C202" s="1"/>
      <c r="D202" s="1"/>
      <c r="E202" s="1"/>
      <c r="F202" s="1"/>
      <c r="G202" s="1"/>
      <c r="H202" s="1"/>
      <c r="I202" s="22"/>
      <c r="J202" s="2"/>
      <c r="K202" s="2"/>
      <c r="L202" s="23" t="s">
        <v>206</v>
      </c>
      <c r="M202" s="23"/>
      <c r="N202" s="5"/>
      <c r="O202" s="5"/>
      <c r="P202" s="5"/>
      <c r="Q202" s="5"/>
      <c r="R202" s="5"/>
      <c r="S202" s="5"/>
      <c r="T202" s="5"/>
      <c r="U202" s="2"/>
      <c r="V202" s="2"/>
      <c r="W202" s="2"/>
      <c r="X202" s="2"/>
      <c r="Y202" s="2"/>
      <c r="Z202" s="2"/>
      <c r="AA202" s="2"/>
      <c r="AB202" s="2"/>
      <c r="AC202" s="2"/>
      <c r="AD202" s="2"/>
      <c r="AE202" s="115" t="str">
        <f>IF(0.8*J35&lt;21,MAX(P198,T200,T201,300),IF(J36&lt;=420,MAX(R196,T200,T201,300),MAX(S197,T200,T201,300)))</f>
        <v>318.1 mm</v>
      </c>
      <c r="AI202" s="1"/>
      <c r="AJ202" s="1"/>
      <c r="AK202" s="1"/>
      <c r="AL202" s="24"/>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row>
    <row r="203" ht="13.5" customHeight="1">
      <c r="A203" s="1"/>
      <c r="B203" s="1"/>
      <c r="C203" s="1"/>
      <c r="D203" s="1"/>
      <c r="E203" s="1"/>
      <c r="F203" s="1"/>
      <c r="G203" s="1"/>
      <c r="H203" s="1"/>
      <c r="I203" s="22"/>
      <c r="J203" s="2"/>
      <c r="K203" s="2"/>
      <c r="L203" s="23"/>
      <c r="M203" s="23"/>
      <c r="N203" s="5"/>
      <c r="O203" s="5"/>
      <c r="P203" s="5"/>
      <c r="Q203" s="5"/>
      <c r="R203" s="5"/>
      <c r="S203" s="5"/>
      <c r="T203" s="5"/>
      <c r="U203" s="2"/>
      <c r="V203" s="2"/>
      <c r="W203" s="2"/>
      <c r="X203" s="2"/>
      <c r="Y203" s="2"/>
      <c r="Z203" s="2"/>
      <c r="AA203" s="2"/>
      <c r="AB203" s="2"/>
      <c r="AC203" s="2"/>
      <c r="AD203" s="2"/>
      <c r="AE203" s="1"/>
      <c r="AF203" s="1"/>
      <c r="AG203" s="1"/>
      <c r="AH203" s="1"/>
      <c r="AI203" s="2"/>
      <c r="AJ203" s="2"/>
      <c r="AK203" s="2"/>
      <c r="AL203" s="24"/>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row>
    <row r="204" ht="15.0" customHeight="1">
      <c r="A204" s="1"/>
      <c r="B204" s="1"/>
      <c r="C204" s="1"/>
      <c r="D204" s="1"/>
      <c r="E204" s="1"/>
      <c r="F204" s="1"/>
      <c r="G204" s="1"/>
      <c r="H204" s="1"/>
      <c r="I204" s="26" t="s">
        <v>207</v>
      </c>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9"/>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row>
    <row r="205" ht="23.25" customHeight="1">
      <c r="A205" s="1"/>
      <c r="B205" s="1"/>
      <c r="C205" s="1"/>
      <c r="D205" s="1"/>
      <c r="E205" s="1"/>
      <c r="F205" s="1"/>
      <c r="G205" s="1"/>
      <c r="H205" s="1"/>
      <c r="I205" s="22"/>
      <c r="J205" s="2"/>
      <c r="K205" s="2"/>
      <c r="L205" s="23"/>
      <c r="M205" s="23"/>
      <c r="N205" s="5"/>
      <c r="O205" s="5"/>
      <c r="P205" s="5"/>
      <c r="Q205" s="5"/>
      <c r="R205" s="5"/>
      <c r="S205" s="5"/>
      <c r="T205" s="5"/>
      <c r="U205" s="2"/>
      <c r="V205" s="2"/>
      <c r="W205" s="2"/>
      <c r="X205" s="2"/>
      <c r="Y205" s="2"/>
      <c r="Z205" s="2"/>
      <c r="AA205" s="2"/>
      <c r="AB205" s="2"/>
      <c r="AC205" s="2"/>
      <c r="AD205" s="2"/>
      <c r="AE205" s="2"/>
      <c r="AF205" s="2"/>
      <c r="AG205" s="2"/>
      <c r="AH205" s="2"/>
      <c r="AI205" s="2"/>
      <c r="AJ205" s="2"/>
      <c r="AK205" s="2"/>
      <c r="AL205" s="24"/>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row>
    <row r="206" ht="13.5" customHeight="1">
      <c r="A206" s="1"/>
      <c r="B206" s="1"/>
      <c r="C206" s="1"/>
      <c r="D206" s="1"/>
      <c r="E206" s="1"/>
      <c r="F206" s="1"/>
      <c r="G206" s="1"/>
      <c r="H206" s="1"/>
      <c r="I206" s="22"/>
      <c r="J206" s="2"/>
      <c r="K206" s="2"/>
      <c r="L206" s="1"/>
      <c r="M206" s="1"/>
      <c r="N206" s="26" t="s">
        <v>3</v>
      </c>
      <c r="O206" s="27"/>
      <c r="P206" s="27"/>
      <c r="Q206" s="27"/>
      <c r="R206" s="27"/>
      <c r="S206" s="27"/>
      <c r="T206" s="27"/>
      <c r="U206" s="27"/>
      <c r="V206" s="27"/>
      <c r="W206" s="27"/>
      <c r="X206" s="27"/>
      <c r="Y206" s="27"/>
      <c r="Z206" s="28" t="s">
        <v>4</v>
      </c>
      <c r="AA206" s="27"/>
      <c r="AB206" s="27"/>
      <c r="AC206" s="27"/>
      <c r="AD206" s="27"/>
      <c r="AE206" s="27"/>
      <c r="AF206" s="27"/>
      <c r="AG206" s="29"/>
      <c r="AH206" s="2"/>
      <c r="AI206" s="2"/>
      <c r="AJ206" s="2"/>
      <c r="AK206" s="2"/>
      <c r="AL206" s="24"/>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row>
    <row r="207" ht="13.5" customHeight="1">
      <c r="A207" s="1"/>
      <c r="B207" s="1"/>
      <c r="C207" s="1"/>
      <c r="D207" s="1"/>
      <c r="E207" s="1"/>
      <c r="F207" s="1"/>
      <c r="G207" s="1"/>
      <c r="H207" s="1"/>
      <c r="I207" s="22"/>
      <c r="J207" s="2"/>
      <c r="K207" s="2"/>
      <c r="L207" s="1"/>
      <c r="M207" s="1"/>
      <c r="N207" s="30" t="s">
        <v>208</v>
      </c>
      <c r="O207" s="31"/>
      <c r="P207" s="31"/>
      <c r="Q207" s="32"/>
      <c r="R207" s="33" t="s">
        <v>209</v>
      </c>
      <c r="S207" s="31"/>
      <c r="T207" s="31"/>
      <c r="U207" s="32"/>
      <c r="V207" s="33" t="s">
        <v>210</v>
      </c>
      <c r="W207" s="31"/>
      <c r="X207" s="31"/>
      <c r="Y207" s="31"/>
      <c r="Z207" s="34" t="s">
        <v>11</v>
      </c>
      <c r="AC207" s="35"/>
      <c r="AD207" s="33" t="s">
        <v>12</v>
      </c>
      <c r="AE207" s="31"/>
      <c r="AF207" s="31"/>
      <c r="AG207" s="36"/>
      <c r="AH207" s="2"/>
      <c r="AI207" s="2"/>
      <c r="AJ207" s="2"/>
      <c r="AK207" s="2"/>
      <c r="AL207" s="24"/>
      <c r="AM207" s="1"/>
      <c r="AN207" s="1"/>
      <c r="AO207" s="1"/>
      <c r="AP207" s="1"/>
      <c r="AQ207" s="96"/>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row>
    <row r="208" ht="13.5" customHeight="1">
      <c r="A208" s="1"/>
      <c r="B208" s="1"/>
      <c r="C208" s="1"/>
      <c r="D208" s="1"/>
      <c r="E208" s="1"/>
      <c r="F208" s="1"/>
      <c r="G208" s="1"/>
      <c r="H208" s="1"/>
      <c r="I208" s="22"/>
      <c r="J208" s="2"/>
      <c r="K208" s="2"/>
      <c r="L208" s="1"/>
      <c r="M208" s="1"/>
      <c r="N208" s="37" t="str">
        <f>K46</f>
        <v>2.55  m</v>
      </c>
      <c r="O208" s="38"/>
      <c r="P208" s="38"/>
      <c r="Q208" s="39"/>
      <c r="R208" s="40" t="str">
        <f>K47</f>
        <v>2.35  m</v>
      </c>
      <c r="S208" s="38"/>
      <c r="T208" s="38"/>
      <c r="U208" s="39"/>
      <c r="V208" s="40" t="str">
        <f>U56/1000</f>
        <v>0.60  m</v>
      </c>
      <c r="W208" s="38"/>
      <c r="X208" s="38"/>
      <c r="Y208" s="38"/>
      <c r="Z208" s="41" t="str">
        <f>K98</f>
        <v>10</v>
      </c>
      <c r="AA208" s="38"/>
      <c r="AB208" s="42" t="str">
        <f>N98</f>
        <v>Ø20</v>
      </c>
      <c r="AC208" s="39"/>
      <c r="AD208" s="43" t="str">
        <f>K110</f>
        <v>11</v>
      </c>
      <c r="AE208" s="38"/>
      <c r="AF208" s="42" t="str">
        <f>N110</f>
        <v>Ø20</v>
      </c>
      <c r="AG208" s="44"/>
      <c r="AH208" s="2"/>
      <c r="AI208" s="2"/>
      <c r="AJ208" s="2"/>
      <c r="AK208" s="2"/>
      <c r="AL208" s="24"/>
      <c r="AM208" s="1"/>
      <c r="AN208" s="1"/>
      <c r="AO208" s="1"/>
      <c r="AP208" s="1"/>
      <c r="AQ208" s="96"/>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row>
    <row r="209" ht="13.5" customHeight="1">
      <c r="A209" s="1"/>
      <c r="B209" s="1"/>
      <c r="C209" s="1"/>
      <c r="D209" s="1"/>
      <c r="E209" s="1"/>
      <c r="F209" s="1"/>
      <c r="G209" s="1"/>
      <c r="H209" s="1"/>
      <c r="I209" s="22"/>
      <c r="J209" s="2"/>
      <c r="K209" s="2"/>
      <c r="L209" s="23"/>
      <c r="M209" s="23"/>
      <c r="N209" s="5"/>
      <c r="O209" s="5"/>
      <c r="P209" s="5"/>
      <c r="Q209" s="5"/>
      <c r="R209" s="5"/>
      <c r="S209" s="5"/>
      <c r="T209" s="5"/>
      <c r="U209" s="2"/>
      <c r="V209" s="2"/>
      <c r="W209" s="2"/>
      <c r="X209" s="2"/>
      <c r="Y209" s="2"/>
      <c r="Z209" s="48" t="str">
        <f>IF(Y99="&gt; 450 mm…...decrease diameter","decrease Ø","")</f>
        <v/>
      </c>
      <c r="AA209" s="2"/>
      <c r="AB209" s="2"/>
      <c r="AC209" s="2"/>
      <c r="AD209" s="48" t="str">
        <f>IF(Y111="&gt; 450 mm…...decrease diameter","decrease Ø","")</f>
        <v/>
      </c>
      <c r="AE209" s="2"/>
      <c r="AF209" s="2"/>
      <c r="AG209" s="2"/>
      <c r="AH209" s="2"/>
      <c r="AI209" s="2"/>
      <c r="AJ209" s="2"/>
      <c r="AK209" s="2"/>
      <c r="AL209" s="24"/>
      <c r="AM209" s="1"/>
      <c r="AN209" s="1"/>
      <c r="AO209" s="1"/>
      <c r="AP209" s="1"/>
      <c r="AQ209" s="96"/>
      <c r="AR209" s="96"/>
      <c r="AS209" s="96"/>
      <c r="AT209" s="96"/>
      <c r="AU209" s="96"/>
      <c r="AV209" s="96"/>
      <c r="AW209" s="96"/>
      <c r="AX209" s="96"/>
      <c r="AY209" s="96"/>
      <c r="AZ209" s="96"/>
      <c r="BA209" s="96"/>
      <c r="BB209" s="96"/>
      <c r="BC209" s="96"/>
      <c r="BD209" s="96"/>
      <c r="BE209" s="96"/>
      <c r="BF209" s="96"/>
      <c r="BG209" s="96"/>
      <c r="BH209" s="1"/>
      <c r="BI209" s="1"/>
      <c r="BJ209" s="1"/>
      <c r="BK209" s="1"/>
      <c r="BL209" s="1"/>
      <c r="BM209" s="1"/>
      <c r="BN209" s="1"/>
      <c r="BO209" s="1"/>
      <c r="BP209" s="1"/>
      <c r="BQ209" s="1"/>
      <c r="BR209" s="1"/>
      <c r="BS209" s="1"/>
    </row>
    <row r="210" ht="13.5" customHeight="1">
      <c r="A210" s="1"/>
      <c r="B210" s="1"/>
      <c r="C210" s="1"/>
      <c r="D210" s="1"/>
      <c r="E210" s="1"/>
      <c r="F210" s="1"/>
      <c r="G210" s="1"/>
      <c r="H210" s="1"/>
      <c r="I210" s="22"/>
      <c r="J210" s="2" t="s">
        <v>16</v>
      </c>
      <c r="K210" s="2"/>
      <c r="L210" s="23"/>
      <c r="M210" s="23"/>
      <c r="N210" s="5"/>
      <c r="O210" s="5"/>
      <c r="P210" s="5"/>
      <c r="Q210" s="5"/>
      <c r="R210" s="5"/>
      <c r="S210" s="5"/>
      <c r="T210" s="5"/>
      <c r="U210" s="2"/>
      <c r="V210" s="2" t="str">
        <f>IF(AND(Y63="Unsafe",Y65="Unsafe"),"Unsafe ………. Increase footing thickness","Safe")</f>
        <v>Safe</v>
      </c>
      <c r="W210" s="2"/>
      <c r="X210" s="2"/>
      <c r="Y210" s="2"/>
      <c r="Z210" s="2"/>
      <c r="AA210" s="2"/>
      <c r="AB210" s="2"/>
      <c r="AC210" s="2"/>
      <c r="AD210" s="1"/>
      <c r="AE210" s="2"/>
      <c r="AF210" s="2"/>
      <c r="AG210" s="2"/>
      <c r="AH210" s="2"/>
      <c r="AI210" s="2"/>
      <c r="AJ210" s="2"/>
      <c r="AK210" s="2"/>
      <c r="AL210" s="24"/>
      <c r="AM210" s="1"/>
      <c r="AN210" s="1"/>
      <c r="AO210" s="1"/>
      <c r="AP210" s="1"/>
      <c r="AQ210" s="96"/>
      <c r="AR210" s="96"/>
      <c r="AS210" s="96"/>
      <c r="AT210" s="96"/>
      <c r="AU210" s="96"/>
      <c r="AV210" s="96"/>
      <c r="AW210" s="96"/>
      <c r="AX210" s="96"/>
      <c r="AY210" s="96"/>
      <c r="AZ210" s="96"/>
      <c r="BA210" s="96"/>
      <c r="BB210" s="96"/>
      <c r="BC210" s="96"/>
      <c r="BD210" s="96"/>
      <c r="BE210" s="96"/>
      <c r="BF210" s="96"/>
      <c r="BG210" s="96"/>
      <c r="BH210" s="1"/>
      <c r="BI210" s="1"/>
      <c r="BJ210" s="1"/>
      <c r="BK210" s="1"/>
      <c r="BL210" s="1"/>
      <c r="BM210" s="1"/>
      <c r="BN210" s="1"/>
      <c r="BO210" s="1"/>
      <c r="BP210" s="1"/>
      <c r="BQ210" s="1"/>
      <c r="BR210" s="1"/>
      <c r="BS210" s="1"/>
    </row>
    <row r="211" ht="13.5" customHeight="1">
      <c r="A211" s="1"/>
      <c r="B211" s="1"/>
      <c r="C211" s="1"/>
      <c r="D211" s="1"/>
      <c r="E211" s="1"/>
      <c r="F211" s="1"/>
      <c r="G211" s="1"/>
      <c r="H211" s="1"/>
      <c r="I211" s="22"/>
      <c r="J211" s="2" t="s">
        <v>20</v>
      </c>
      <c r="K211" s="2"/>
      <c r="L211" s="23"/>
      <c r="M211" s="23"/>
      <c r="N211" s="5"/>
      <c r="O211" s="5"/>
      <c r="P211" s="5"/>
      <c r="Q211" s="5"/>
      <c r="R211" s="5"/>
      <c r="S211" s="5"/>
      <c r="T211" s="5"/>
      <c r="U211" s="2"/>
      <c r="V211" s="2" t="str">
        <f>IF(Y77="Unsafe","Unsafe ………. Increase footing thickness","Safe")</f>
        <v>Safe</v>
      </c>
      <c r="W211" s="2"/>
      <c r="X211" s="2"/>
      <c r="Y211" s="2"/>
      <c r="Z211" s="2"/>
      <c r="AA211" s="2"/>
      <c r="AB211" s="2"/>
      <c r="AC211" s="2"/>
      <c r="AD211" s="2"/>
      <c r="AE211" s="2"/>
      <c r="AF211" s="2"/>
      <c r="AG211" s="2"/>
      <c r="AH211" s="2"/>
      <c r="AI211" s="2"/>
      <c r="AJ211" s="2"/>
      <c r="AK211" s="2"/>
      <c r="AL211" s="24"/>
      <c r="AM211" s="1"/>
      <c r="AN211" s="1"/>
      <c r="AO211" s="1"/>
      <c r="AP211" s="1"/>
      <c r="AQ211" s="96"/>
      <c r="AR211" s="96"/>
      <c r="AS211" s="96"/>
      <c r="AT211" s="96"/>
      <c r="AU211" s="96"/>
      <c r="AV211" s="96"/>
      <c r="AW211" s="96"/>
      <c r="AX211" s="96"/>
      <c r="AY211" s="96"/>
      <c r="AZ211" s="96"/>
      <c r="BA211" s="96"/>
      <c r="BB211" s="96"/>
      <c r="BC211" s="96"/>
      <c r="BD211" s="96"/>
      <c r="BE211" s="96"/>
      <c r="BF211" s="96"/>
      <c r="BG211" s="96"/>
      <c r="BH211" s="1"/>
      <c r="BI211" s="1"/>
      <c r="BJ211" s="1"/>
      <c r="BK211" s="1"/>
      <c r="BL211" s="1"/>
      <c r="BM211" s="1"/>
      <c r="BN211" s="1"/>
      <c r="BO211" s="1"/>
      <c r="BP211" s="1"/>
      <c r="BQ211" s="1"/>
      <c r="BR211" s="1"/>
      <c r="BS211" s="1"/>
    </row>
    <row r="212" ht="13.5" customHeight="1">
      <c r="A212" s="1"/>
      <c r="B212" s="1"/>
      <c r="C212" s="1"/>
      <c r="D212" s="1"/>
      <c r="E212" s="1"/>
      <c r="F212" s="1"/>
      <c r="G212" s="1"/>
      <c r="H212" s="1"/>
      <c r="I212" s="22"/>
      <c r="J212" s="2" t="s">
        <v>21</v>
      </c>
      <c r="K212" s="2"/>
      <c r="L212" s="23"/>
      <c r="M212" s="23"/>
      <c r="N212" s="5"/>
      <c r="O212" s="5"/>
      <c r="P212" s="5"/>
      <c r="Q212" s="5"/>
      <c r="R212" s="5"/>
      <c r="S212" s="5"/>
      <c r="T212" s="5"/>
      <c r="U212" s="2"/>
      <c r="V212" s="1" t="str">
        <f>IF(AND(Y130="»» reinforcement can be fully developed",Y146="»» reinforcement can be fully developed"),"Safe","Unsafe")</f>
        <v>Safe</v>
      </c>
      <c r="W212" s="2"/>
      <c r="X212" s="2"/>
      <c r="Y212" s="2"/>
      <c r="Z212" s="2"/>
      <c r="AA212" s="2"/>
      <c r="AB212" s="2"/>
      <c r="AC212" s="2"/>
      <c r="AD212" s="2"/>
      <c r="AE212" s="2"/>
      <c r="AF212" s="2"/>
      <c r="AG212" s="2"/>
      <c r="AH212" s="2"/>
      <c r="AI212" s="2"/>
      <c r="AJ212" s="2"/>
      <c r="AK212" s="2"/>
      <c r="AL212" s="24"/>
      <c r="AM212" s="1"/>
      <c r="AN212" s="1"/>
      <c r="AO212" s="1"/>
      <c r="AP212" s="1"/>
      <c r="AQ212" s="96"/>
      <c r="AR212" s="96"/>
      <c r="AS212" s="96"/>
      <c r="AT212" s="96"/>
      <c r="AU212" s="96"/>
      <c r="AV212" s="96"/>
      <c r="AW212" s="96"/>
      <c r="AX212" s="96"/>
      <c r="AY212" s="96"/>
      <c r="AZ212" s="96"/>
      <c r="BA212" s="96"/>
      <c r="BB212" s="96"/>
      <c r="BC212" s="96"/>
      <c r="BD212" s="96"/>
      <c r="BE212" s="96"/>
      <c r="BF212" s="96"/>
      <c r="BG212" s="96"/>
      <c r="BH212" s="1"/>
      <c r="BI212" s="1"/>
      <c r="BJ212" s="1"/>
      <c r="BK212" s="1"/>
      <c r="BL212" s="1"/>
      <c r="BM212" s="1"/>
      <c r="BN212" s="1"/>
      <c r="BO212" s="1"/>
      <c r="BP212" s="1"/>
      <c r="BQ212" s="1"/>
      <c r="BR212" s="1"/>
      <c r="BS212" s="1"/>
    </row>
    <row r="213" ht="13.5" customHeight="1">
      <c r="A213" s="1"/>
      <c r="B213" s="1"/>
      <c r="C213" s="1"/>
      <c r="D213" s="1"/>
      <c r="E213" s="1"/>
      <c r="F213" s="1"/>
      <c r="G213" s="1"/>
      <c r="H213" s="1"/>
      <c r="I213" s="22"/>
      <c r="J213" s="2" t="s">
        <v>24</v>
      </c>
      <c r="K213" s="2"/>
      <c r="L213" s="23"/>
      <c r="M213" s="23"/>
      <c r="N213" s="5"/>
      <c r="O213" s="5"/>
      <c r="P213" s="5"/>
      <c r="Q213" s="5"/>
      <c r="R213" s="5"/>
      <c r="S213" s="5"/>
      <c r="T213" s="5"/>
      <c r="U213" s="2"/>
      <c r="V213" s="2" t="str">
        <f>IF(AB192="Unsafe","Unsafe ………. Increase footing thickness","Safe")</f>
        <v>Safe</v>
      </c>
      <c r="W213" s="2"/>
      <c r="X213" s="2"/>
      <c r="Y213" s="2"/>
      <c r="Z213" s="2"/>
      <c r="AA213" s="2"/>
      <c r="AB213" s="2"/>
      <c r="AC213" s="2"/>
      <c r="AD213" s="2"/>
      <c r="AE213" s="2"/>
      <c r="AF213" s="2"/>
      <c r="AG213" s="2"/>
      <c r="AH213" s="2"/>
      <c r="AI213" s="2"/>
      <c r="AJ213" s="2"/>
      <c r="AK213" s="2"/>
      <c r="AL213" s="24"/>
      <c r="AM213" s="1"/>
      <c r="AN213" s="1"/>
      <c r="AO213" s="1"/>
      <c r="AP213" s="1"/>
      <c r="AQ213" s="96"/>
      <c r="AR213" s="96"/>
      <c r="AS213" s="96"/>
      <c r="AT213" s="96"/>
      <c r="AU213" s="96"/>
      <c r="AV213" s="96"/>
      <c r="AW213" s="96"/>
      <c r="AX213" s="96"/>
      <c r="AY213" s="96"/>
      <c r="AZ213" s="96"/>
      <c r="BA213" s="96"/>
      <c r="BB213" s="96"/>
      <c r="BC213" s="96"/>
      <c r="BD213" s="96"/>
      <c r="BE213" s="96"/>
      <c r="BF213" s="96"/>
      <c r="BG213" s="96"/>
      <c r="BH213" s="1"/>
      <c r="BI213" s="1"/>
      <c r="BJ213" s="1"/>
      <c r="BK213" s="1"/>
      <c r="BL213" s="1"/>
      <c r="BM213" s="1"/>
      <c r="BN213" s="1"/>
      <c r="BO213" s="1"/>
      <c r="BP213" s="1"/>
      <c r="BQ213" s="1"/>
      <c r="BR213" s="1"/>
      <c r="BS213" s="1"/>
    </row>
    <row r="214" ht="13.5" customHeight="1">
      <c r="A214" s="1"/>
      <c r="B214" s="1"/>
      <c r="C214" s="1"/>
      <c r="D214" s="1"/>
      <c r="E214" s="1"/>
      <c r="F214" s="1"/>
      <c r="G214" s="1"/>
      <c r="H214" s="1"/>
      <c r="I214" s="52"/>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4"/>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row>
  </sheetData>
  <mergeCells count="256">
    <mergeCell ref="O97:S97"/>
    <mergeCell ref="K98:M98"/>
    <mergeCell ref="N98:O98"/>
    <mergeCell ref="R98:V98"/>
    <mergeCell ref="P106:P107"/>
    <mergeCell ref="Q106:Q107"/>
    <mergeCell ref="M106:O106"/>
    <mergeCell ref="M105:O105"/>
    <mergeCell ref="K106:L107"/>
    <mergeCell ref="Q104:S105"/>
    <mergeCell ref="R95:T95"/>
    <mergeCell ref="M107:O107"/>
    <mergeCell ref="R108:T108"/>
    <mergeCell ref="R103:V103"/>
    <mergeCell ref="R106:R107"/>
    <mergeCell ref="K104:L105"/>
    <mergeCell ref="K134:L135"/>
    <mergeCell ref="K128:L129"/>
    <mergeCell ref="L151:N151"/>
    <mergeCell ref="L150:N150"/>
    <mergeCell ref="K112:N112"/>
    <mergeCell ref="K150:K151"/>
    <mergeCell ref="K144:L145"/>
    <mergeCell ref="M144:O144"/>
    <mergeCell ref="M118:O118"/>
    <mergeCell ref="K118:L119"/>
    <mergeCell ref="M134:O134"/>
    <mergeCell ref="O150:O151"/>
    <mergeCell ref="T140:W141"/>
    <mergeCell ref="X140:X141"/>
    <mergeCell ref="P104:P105"/>
    <mergeCell ref="P99:R99"/>
    <mergeCell ref="M128:O128"/>
    <mergeCell ref="P128:P129"/>
    <mergeCell ref="Q128:T128"/>
    <mergeCell ref="W136:Y136"/>
    <mergeCell ref="Y137:AA137"/>
    <mergeCell ref="S146:V146"/>
    <mergeCell ref="P144:P145"/>
    <mergeCell ref="Q144:T144"/>
    <mergeCell ref="U144:V145"/>
    <mergeCell ref="Q191:T191"/>
    <mergeCell ref="R189:S189"/>
    <mergeCell ref="T189:W189"/>
    <mergeCell ref="T190:W190"/>
    <mergeCell ref="R200:S200"/>
    <mergeCell ref="R184:R185"/>
    <mergeCell ref="Z208:AA208"/>
    <mergeCell ref="R196:U196"/>
    <mergeCell ref="S197:V197"/>
    <mergeCell ref="P198:S198"/>
    <mergeCell ref="S130:V130"/>
    <mergeCell ref="U128:V129"/>
    <mergeCell ref="W192:Z192"/>
    <mergeCell ref="S184:T185"/>
    <mergeCell ref="W120:Y120"/>
    <mergeCell ref="W144:Z145"/>
    <mergeCell ref="X124:X125"/>
    <mergeCell ref="Y124:Z125"/>
    <mergeCell ref="W128:Z129"/>
    <mergeCell ref="Y140:Z141"/>
    <mergeCell ref="Y121:AA121"/>
    <mergeCell ref="T124:W125"/>
    <mergeCell ref="K120:Q121"/>
    <mergeCell ref="P118:P119"/>
    <mergeCell ref="P134:P135"/>
    <mergeCell ref="Q134:T134"/>
    <mergeCell ref="U134:V135"/>
    <mergeCell ref="K136:Q137"/>
    <mergeCell ref="M155:N155"/>
    <mergeCell ref="M154:N154"/>
    <mergeCell ref="S150:S151"/>
    <mergeCell ref="T150:V151"/>
    <mergeCell ref="K154:K155"/>
    <mergeCell ref="K152:K153"/>
    <mergeCell ref="M152:M153"/>
    <mergeCell ref="N152:Q153"/>
    <mergeCell ref="L154:L155"/>
    <mergeCell ref="O112:P112"/>
    <mergeCell ref="O154:O155"/>
    <mergeCell ref="N176:R176"/>
    <mergeCell ref="N173:R173"/>
    <mergeCell ref="N168:R168"/>
    <mergeCell ref="O166:P166"/>
    <mergeCell ref="N184:Q184"/>
    <mergeCell ref="N185:Q185"/>
    <mergeCell ref="T200:W200"/>
    <mergeCell ref="T201:W201"/>
    <mergeCell ref="O163:T163"/>
    <mergeCell ref="N164:S164"/>
    <mergeCell ref="R180:V180"/>
    <mergeCell ref="T179:X179"/>
    <mergeCell ref="S183:W183"/>
    <mergeCell ref="N207:Q207"/>
    <mergeCell ref="R207:U207"/>
    <mergeCell ref="V207:Y207"/>
    <mergeCell ref="N206:Y206"/>
    <mergeCell ref="N208:Q208"/>
    <mergeCell ref="R208:U208"/>
    <mergeCell ref="V208:Y208"/>
    <mergeCell ref="I204:AL204"/>
    <mergeCell ref="Z207:AC207"/>
    <mergeCell ref="AD207:AG207"/>
    <mergeCell ref="AB208:AC208"/>
    <mergeCell ref="AD208:AE208"/>
    <mergeCell ref="AF208:AG208"/>
    <mergeCell ref="Z206:AG206"/>
    <mergeCell ref="AE202:AH202"/>
    <mergeCell ref="H20:M20"/>
    <mergeCell ref="O20:Q20"/>
    <mergeCell ref="AD20:AI20"/>
    <mergeCell ref="AD22:AI22"/>
    <mergeCell ref="AH28:AK28"/>
    <mergeCell ref="AH29:AK29"/>
    <mergeCell ref="AA72:AB72"/>
    <mergeCell ref="AA73:AB73"/>
    <mergeCell ref="V154:AF155"/>
    <mergeCell ref="S154:U155"/>
    <mergeCell ref="P154:R155"/>
    <mergeCell ref="P150:R150"/>
    <mergeCell ref="P151:R151"/>
    <mergeCell ref="AH134:AK135"/>
    <mergeCell ref="AH136:AJ139"/>
    <mergeCell ref="AH144:AK145"/>
    <mergeCell ref="AH154:AJ155"/>
    <mergeCell ref="AH118:AK119"/>
    <mergeCell ref="AH128:AK129"/>
    <mergeCell ref="AH120:AJ123"/>
    <mergeCell ref="O182:S182"/>
    <mergeCell ref="L183:N183"/>
    <mergeCell ref="O183:P183"/>
    <mergeCell ref="L184:M185"/>
    <mergeCell ref="W93:W94"/>
    <mergeCell ref="X93:X94"/>
    <mergeCell ref="R93:R94"/>
    <mergeCell ref="Y93:AA94"/>
    <mergeCell ref="W106:W107"/>
    <mergeCell ref="R110:V110"/>
    <mergeCell ref="U118:V119"/>
    <mergeCell ref="Q118:T118"/>
    <mergeCell ref="X106:X107"/>
    <mergeCell ref="Y106:AA107"/>
    <mergeCell ref="R90:V90"/>
    <mergeCell ref="Q93:Q94"/>
    <mergeCell ref="Q91:S92"/>
    <mergeCell ref="M83:P83"/>
    <mergeCell ref="O85:Q85"/>
    <mergeCell ref="P91:P92"/>
    <mergeCell ref="O86:Q86"/>
    <mergeCell ref="T85:V85"/>
    <mergeCell ref="R85:R86"/>
    <mergeCell ref="M94:O94"/>
    <mergeCell ref="P93:P94"/>
    <mergeCell ref="N70:O70"/>
    <mergeCell ref="N72:S74"/>
    <mergeCell ref="T74:V74"/>
    <mergeCell ref="T77:W77"/>
    <mergeCell ref="M93:O93"/>
    <mergeCell ref="M91:O91"/>
    <mergeCell ref="M92:O92"/>
    <mergeCell ref="N77:O77"/>
    <mergeCell ref="M85:N86"/>
    <mergeCell ref="M82:O82"/>
    <mergeCell ref="T76:W76"/>
    <mergeCell ref="AK20:AM20"/>
    <mergeCell ref="AK18:AM18"/>
    <mergeCell ref="AK16:AM16"/>
    <mergeCell ref="AD16:AI16"/>
    <mergeCell ref="AD18:AI18"/>
    <mergeCell ref="AD14:AI14"/>
    <mergeCell ref="AK22:AM22"/>
    <mergeCell ref="AD12:AI12"/>
    <mergeCell ref="AU15:AX15"/>
    <mergeCell ref="AY15:BB15"/>
    <mergeCell ref="BC15:BF15"/>
    <mergeCell ref="BG15:BH15"/>
    <mergeCell ref="BI15:BJ15"/>
    <mergeCell ref="BK15:BL15"/>
    <mergeCell ref="BM15:BN15"/>
    <mergeCell ref="AK12:AM12"/>
    <mergeCell ref="AK14:AM14"/>
    <mergeCell ref="AU13:BF13"/>
    <mergeCell ref="BG13:BN13"/>
    <mergeCell ref="AU14:AX14"/>
    <mergeCell ref="AY14:BB14"/>
    <mergeCell ref="BC14:BF14"/>
    <mergeCell ref="BG14:BJ14"/>
    <mergeCell ref="BK14:BN14"/>
    <mergeCell ref="U38:Z39"/>
    <mergeCell ref="N48:Q48"/>
    <mergeCell ref="K46:N46"/>
    <mergeCell ref="K47:N47"/>
    <mergeCell ref="Q43:U43"/>
    <mergeCell ref="Q42:U42"/>
    <mergeCell ref="Q44:U44"/>
    <mergeCell ref="P45:S45"/>
    <mergeCell ref="T34:Y34"/>
    <mergeCell ref="AD34:AI34"/>
    <mergeCell ref="T35:Y35"/>
    <mergeCell ref="U30:Z31"/>
    <mergeCell ref="J37:P37"/>
    <mergeCell ref="J34:P34"/>
    <mergeCell ref="J35:P35"/>
    <mergeCell ref="J36:P36"/>
    <mergeCell ref="AD36:AI36"/>
    <mergeCell ref="AD35:AI35"/>
    <mergeCell ref="AD37:AI37"/>
    <mergeCell ref="T36:Y36"/>
    <mergeCell ref="T37:Y37"/>
    <mergeCell ref="J29:M29"/>
    <mergeCell ref="J28:M28"/>
    <mergeCell ref="AD29:AG29"/>
    <mergeCell ref="AD28:AG28"/>
    <mergeCell ref="H12:M12"/>
    <mergeCell ref="O12:Q12"/>
    <mergeCell ref="S12:X12"/>
    <mergeCell ref="Z12:AB12"/>
    <mergeCell ref="H16:M16"/>
    <mergeCell ref="O16:Q16"/>
    <mergeCell ref="H18:M18"/>
    <mergeCell ref="O18:Q18"/>
    <mergeCell ref="S16:X16"/>
    <mergeCell ref="Z16:AB16"/>
    <mergeCell ref="Z14:AB14"/>
    <mergeCell ref="H14:M14"/>
    <mergeCell ref="O14:Q14"/>
    <mergeCell ref="S18:X18"/>
    <mergeCell ref="Z18:AB18"/>
    <mergeCell ref="H22:M22"/>
    <mergeCell ref="O22:Q22"/>
    <mergeCell ref="S14:X14"/>
    <mergeCell ref="S85:S86"/>
    <mergeCell ref="W85:W86"/>
    <mergeCell ref="X85:X86"/>
    <mergeCell ref="K93:L94"/>
    <mergeCell ref="K91:L92"/>
    <mergeCell ref="K85:L86"/>
    <mergeCell ref="Q69:S69"/>
    <mergeCell ref="Y85:AA86"/>
    <mergeCell ref="K72:M73"/>
    <mergeCell ref="K71:M71"/>
    <mergeCell ref="P49:T49"/>
    <mergeCell ref="S53:W53"/>
    <mergeCell ref="P54:T54"/>
    <mergeCell ref="U56:X56"/>
    <mergeCell ref="Y57:AB57"/>
    <mergeCell ref="AA74:AB74"/>
    <mergeCell ref="N110:O110"/>
    <mergeCell ref="M104:O104"/>
    <mergeCell ref="S65:W65"/>
    <mergeCell ref="S62:W62"/>
    <mergeCell ref="S63:W63"/>
    <mergeCell ref="S64:W64"/>
    <mergeCell ref="O109:S109"/>
    <mergeCell ref="K110:M110"/>
    <mergeCell ref="P111:R111"/>
  </mergeCells>
  <conditionalFormatting sqref="L179">
    <cfRule type="expression" dxfId="0" priority="1">
      <formula>$K$179</formula>
    </cfRule>
  </conditionalFormatting>
  <conditionalFormatting sqref="L196 R196:U196 Y196">
    <cfRule type="expression" dxfId="0" priority="2">
      <formula>$K$196</formula>
    </cfRule>
  </conditionalFormatting>
  <conditionalFormatting sqref="L197 S197:V197 Y197">
    <cfRule type="expression" dxfId="0" priority="3">
      <formula>$K$197</formula>
    </cfRule>
  </conditionalFormatting>
  <conditionalFormatting sqref="L198 AH198">
    <cfRule type="expression" dxfId="0" priority="4">
      <formula>$K$198</formula>
    </cfRule>
  </conditionalFormatting>
  <conditionalFormatting sqref="P198:S198">
    <cfRule type="expression" dxfId="0" priority="5">
      <formula>$K$198</formula>
    </cfRule>
  </conditionalFormatting>
  <conditionalFormatting sqref="P198:S198">
    <cfRule type="expression" dxfId="0" priority="6">
      <formula>$K$197</formula>
    </cfRule>
  </conditionalFormatting>
  <conditionalFormatting sqref="T179:X179 AH179">
    <cfRule type="expression" dxfId="0" priority="7">
      <formula>$K$179</formula>
    </cfRule>
  </conditionalFormatting>
  <dataValidations>
    <dataValidation type="list" allowBlank="1" showErrorMessage="1" sqref="O20 AK20 O22 Z22:AB22 AK22">
      <formula1>$AO$12:$AO$21</formula1>
    </dataValidation>
    <dataValidation type="list" allowBlank="1" showErrorMessage="1" sqref="O16">
      <formula1>$AP$11:$AP$14</formula1>
    </dataValidation>
  </dataValidations>
  <printOptions/>
  <pageMargins bottom="0.7480314960629921" footer="0.0" header="0.0" left="0.7086614173228347" right="0.7086614173228347" top="0.748031496062992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1" width="8.7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1" width="8.7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ENGINEER</Company>
  <ScaleCrop>false</ScaleCrop>
  <HeadingPairs>
    <vt:vector baseType="variant" size="4">
      <vt:variant>
        <vt:lpstr>أوراق العمل</vt:lpstr>
      </vt:variant>
      <vt:variant>
        <vt:i4>3</vt:i4>
      </vt:variant>
      <vt:variant>
        <vt:lpstr>النطاقات المسماة</vt:lpstr>
      </vt:variant>
      <vt:variant>
        <vt:i4>1</vt:i4>
      </vt:variant>
    </vt:vector>
  </HeadingPairs>
  <TitlesOfParts>
    <vt:vector baseType="lpstr" size="4">
      <vt:lpstr>Sheet1</vt:lpstr>
      <vt:lpstr>Sheet2</vt:lpstr>
      <vt:lpstr>Sheet3</vt:lpstr>
      <vt:lpstr>Sheet1!Print_Area</vt:lpstr>
    </vt:vector>
  </TitlesOfParts>
  <LinksUpToDate>false</LinksUpToDate>
  <SharedDoc>false</SharedDoc>
  <HyperlinksChanged>false</HyperlinksChanged>
  <Application>Excel Android</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2009-06-01T07:23:22Z</dcterms:created>
  <dc:creator>SAYED</dc:creator>
  <cp:lastModifiedBy>hp</cp:lastModifiedBy>
  <cp:lastPrinted>2009-06-03T19:21:43Z</cp:lastPrinted>
  <dcterms:modified xsi:type="dcterms:W3CDTF">2021-11-18T21:12:49Z</dcterms:modified>
</cp:coreProperties>
</file>